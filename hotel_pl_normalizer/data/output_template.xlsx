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yun.Lee\dev\hotel_pl_normalizer-v2\hotel_pl_normalizer\data\"/>
    </mc:Choice>
  </mc:AlternateContent>
  <xr:revisionPtr revIDLastSave="0" documentId="13_ncr:1_{E2D70E13-3B90-4660-ADBF-C4F88E0A80D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un Notes" sheetId="1" r:id="rId1"/>
    <sheet name="COA" sheetId="2" r:id="rId2"/>
    <sheet name="KHP Model Ac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3" l="1"/>
  <c r="C235" i="3"/>
  <c r="C234" i="3"/>
  <c r="C233" i="3" s="1"/>
  <c r="C232" i="3" s="1"/>
  <c r="C231" i="3"/>
  <c r="C230" i="3"/>
  <c r="C229" i="3"/>
  <c r="C236" i="3" s="1"/>
  <c r="C222" i="3"/>
  <c r="C221" i="3" s="1"/>
  <c r="C223" i="3" s="1"/>
  <c r="C207" i="3"/>
  <c r="C199" i="3"/>
  <c r="C198" i="3"/>
  <c r="C197" i="3"/>
  <c r="C201" i="3" s="1"/>
  <c r="C195" i="3"/>
  <c r="C188" i="3"/>
  <c r="C186" i="3"/>
  <c r="C177" i="3"/>
  <c r="C176" i="3"/>
  <c r="C175" i="3"/>
  <c r="C174" i="3"/>
  <c r="C173" i="3"/>
  <c r="C172" i="3"/>
  <c r="C170" i="3"/>
  <c r="C163" i="3"/>
  <c r="C162" i="3"/>
  <c r="C161" i="3"/>
  <c r="C159" i="3"/>
  <c r="C151" i="3"/>
  <c r="C150" i="3"/>
  <c r="C149" i="3"/>
  <c r="C148" i="3"/>
  <c r="C147" i="3"/>
  <c r="C153" i="3" s="1"/>
  <c r="C145" i="3"/>
  <c r="B133" i="3"/>
  <c r="C132" i="3"/>
  <c r="B132" i="3"/>
  <c r="C131" i="3"/>
  <c r="B131" i="3"/>
  <c r="C128" i="3"/>
  <c r="C129" i="3" s="1"/>
  <c r="C126" i="3" s="1"/>
  <c r="C127" i="3"/>
  <c r="C123" i="3"/>
  <c r="C122" i="3"/>
  <c r="C119" i="3"/>
  <c r="C118" i="3"/>
  <c r="C112" i="3"/>
  <c r="C108" i="3"/>
  <c r="C104" i="3"/>
  <c r="C100" i="3"/>
  <c r="C96" i="3"/>
  <c r="C92" i="3"/>
  <c r="C88" i="3"/>
  <c r="C84" i="3"/>
  <c r="C82" i="3"/>
  <c r="C81" i="3"/>
  <c r="C73" i="3"/>
  <c r="C72" i="3"/>
  <c r="C71" i="3"/>
  <c r="C70" i="3"/>
  <c r="C69" i="3"/>
  <c r="C68" i="3"/>
  <c r="C75" i="3" s="1"/>
  <c r="C66" i="3"/>
  <c r="C58" i="3"/>
  <c r="C57" i="3"/>
  <c r="C54" i="3"/>
  <c r="C53" i="3"/>
  <c r="C51" i="3"/>
  <c r="C50" i="3"/>
  <c r="C49" i="3"/>
  <c r="C48" i="3" s="1"/>
  <c r="C47" i="3"/>
  <c r="C45" i="3"/>
  <c r="C43" i="3"/>
  <c r="B43" i="3"/>
  <c r="C42" i="3"/>
  <c r="B42" i="3"/>
  <c r="C41" i="3"/>
  <c r="B41" i="3"/>
  <c r="C40" i="3"/>
  <c r="B40" i="3"/>
  <c r="C39" i="3"/>
  <c r="C36" i="3"/>
  <c r="C30" i="3"/>
  <c r="C29" i="3"/>
  <c r="C21" i="3"/>
  <c r="C20" i="3"/>
  <c r="C19" i="3" s="1"/>
  <c r="C17" i="3"/>
  <c r="C124" i="3" l="1"/>
  <c r="C121" i="3" s="1"/>
  <c r="C212" i="3"/>
  <c r="C46" i="3"/>
  <c r="C37" i="3" s="1"/>
  <c r="C190" i="3"/>
  <c r="C192" i="3" s="1"/>
  <c r="C59" i="3"/>
  <c r="C56" i="3" s="1"/>
  <c r="C67" i="3"/>
  <c r="C120" i="3"/>
  <c r="C117" i="3" s="1"/>
  <c r="C133" i="3" s="1"/>
  <c r="C130" i="3" s="1"/>
  <c r="C211" i="3"/>
  <c r="C83" i="3"/>
  <c r="C80" i="3" s="1"/>
  <c r="C31" i="3"/>
  <c r="C171" i="3"/>
  <c r="C154" i="3"/>
  <c r="C152" i="3"/>
  <c r="C76" i="3"/>
  <c r="C74" i="3"/>
  <c r="C202" i="3"/>
  <c r="C200" i="3"/>
  <c r="C55" i="3"/>
  <c r="C52" i="3" s="1"/>
  <c r="C146" i="3"/>
  <c r="C160" i="3"/>
  <c r="C196" i="3"/>
  <c r="C164" i="3"/>
  <c r="C165" i="3" s="1"/>
  <c r="C180" i="3"/>
  <c r="C61" i="3" l="1"/>
  <c r="C203" i="3" s="1"/>
  <c r="C136" i="3"/>
  <c r="C137" i="3" s="1"/>
  <c r="C167" i="3"/>
  <c r="C181" i="3"/>
  <c r="C214" i="3" s="1"/>
  <c r="C179" i="3"/>
  <c r="C156" i="3"/>
  <c r="C204" i="3"/>
  <c r="C78" i="3"/>
  <c r="C77" i="3"/>
  <c r="C155" i="3" l="1"/>
  <c r="C215" i="3"/>
  <c r="C191" i="3"/>
  <c r="C208" i="3"/>
  <c r="C62" i="3"/>
  <c r="C32" i="3"/>
  <c r="C139" i="3"/>
  <c r="C141" i="3" s="1"/>
  <c r="C166" i="3"/>
  <c r="C183" i="3"/>
  <c r="C182" i="3"/>
  <c r="C140" i="3"/>
  <c r="C217" i="3"/>
  <c r="C218" i="3" l="1"/>
  <c r="C33" i="3"/>
  <c r="C225" i="3"/>
  <c r="C238" i="3" l="1"/>
  <c r="C239" i="3" s="1"/>
  <c r="C226" i="3"/>
</calcChain>
</file>

<file path=xl/sharedStrings.xml><?xml version="1.0" encoding="utf-8"?>
<sst xmlns="http://schemas.openxmlformats.org/spreadsheetml/2006/main" count="472" uniqueCount="454">
  <si>
    <t>RUN NOTES</t>
  </si>
  <si>
    <t>Source file</t>
  </si>
  <si>
    <t>Periods</t>
  </si>
  <si>
    <t>Status</t>
  </si>
  <si>
    <t>Accounts mapped</t>
  </si>
  <si>
    <t>Calculation policy</t>
  </si>
  <si>
    <t>Notes</t>
  </si>
  <si>
    <t>COA_ID</t>
  </si>
  <si>
    <t>MAPPED LABELS</t>
  </si>
  <si>
    <t>MODEL FEEDBACK</t>
  </si>
  <si>
    <t>VENUE NAME</t>
  </si>
  <si>
    <t>S12.rooms_available</t>
  </si>
  <si>
    <t>S12.rooms_sold</t>
  </si>
  <si>
    <t>S12.occupancy</t>
  </si>
  <si>
    <t>S12.adr</t>
  </si>
  <si>
    <t>S12.revpar</t>
  </si>
  <si>
    <t>S12.total_rooms_revenue</t>
  </si>
  <si>
    <t>S12.total_food_and_beverage_revenue</t>
  </si>
  <si>
    <t>S12.total_other_operated_departments_revenue</t>
  </si>
  <si>
    <t>S12.total_miscellaneous_income</t>
  </si>
  <si>
    <t>S12.total_revenue</t>
  </si>
  <si>
    <t>S12.total_rooms_expenses</t>
  </si>
  <si>
    <t>S12.total_food_and_beverage_expenses</t>
  </si>
  <si>
    <t>S12.total_other_operated_departments_expenses</t>
  </si>
  <si>
    <t>S12.total_departmental_expenses</t>
  </si>
  <si>
    <t>S12.departmental_profit</t>
  </si>
  <si>
    <t>S12.total_administrative_and_general_expenses</t>
  </si>
  <si>
    <t>S12.total_information_and_telecommunications_systems_expenses</t>
  </si>
  <si>
    <t>S12.total_sales_and_marketing_expenses</t>
  </si>
  <si>
    <t>S12.total_property_operation_and_maintenance_expenses</t>
  </si>
  <si>
    <t>S12.total_utilities_expenses</t>
  </si>
  <si>
    <t>S12.total_undistributed_expenses</t>
  </si>
  <si>
    <t>S12.gop</t>
  </si>
  <si>
    <t>S12.total_management_fees</t>
  </si>
  <si>
    <t>S12.income_after_management_fees</t>
  </si>
  <si>
    <t>S12.non_operating_income</t>
  </si>
  <si>
    <t>S12.rent</t>
  </si>
  <si>
    <t>S12.property_and_other_taxes</t>
  </si>
  <si>
    <t>S12.insurance</t>
  </si>
  <si>
    <t>S12.other</t>
  </si>
  <si>
    <t>S12.total_non_operating_income_and_expenses</t>
  </si>
  <si>
    <t>S12.ebitda</t>
  </si>
  <si>
    <t>S12.ffe_reserve</t>
  </si>
  <si>
    <t>S12.noi</t>
  </si>
  <si>
    <t>S1.discount</t>
  </si>
  <si>
    <t>S1.negotiated</t>
  </si>
  <si>
    <t>S1.qualified</t>
  </si>
  <si>
    <t>S1.retail</t>
  </si>
  <si>
    <t>S1.wholesale</t>
  </si>
  <si>
    <t>S1.transient_rooms_revenue</t>
  </si>
  <si>
    <t>S1.association_convention</t>
  </si>
  <si>
    <t>S1.corporate</t>
  </si>
  <si>
    <t>S1.government</t>
  </si>
  <si>
    <t>S1.smerf</t>
  </si>
  <si>
    <t>S1.tour_wholesalers</t>
  </si>
  <si>
    <t>S1.group_rooms_revenue</t>
  </si>
  <si>
    <t>S1.contract_rooms_revenue</t>
  </si>
  <si>
    <t>S1.other_rooms_revenue</t>
  </si>
  <si>
    <t>S1.allowances_and_breakage</t>
  </si>
  <si>
    <t>S1.total_rooms_revenue</t>
  </si>
  <si>
    <t>S1.management</t>
  </si>
  <si>
    <t>S1.complimentary_f_b</t>
  </si>
  <si>
    <t>S1.front_office</t>
  </si>
  <si>
    <t>S1.guest_services</t>
  </si>
  <si>
    <t>S1.housekeeping</t>
  </si>
  <si>
    <t>S1.laundry</t>
  </si>
  <si>
    <t>S1.reservations_labor</t>
  </si>
  <si>
    <t>S1.transportation_bell_door</t>
  </si>
  <si>
    <t>S1.nonmanagement</t>
  </si>
  <si>
    <t>S1.salaries_and_wages</t>
  </si>
  <si>
    <t>S1.bonuses_and_incentives</t>
  </si>
  <si>
    <t>S1.contracted_leased_and_outsourced_labor</t>
  </si>
  <si>
    <t>S1.employee_benefits_health_insurance_workers_comp</t>
  </si>
  <si>
    <t>S1.payroll_taxes</t>
  </si>
  <si>
    <t>S1.supplemental_pay</t>
  </si>
  <si>
    <t>S1.total_payroll_related_expenses</t>
  </si>
  <si>
    <t>S1.labor_costs_and_related_expenses</t>
  </si>
  <si>
    <t>S1.commissions</t>
  </si>
  <si>
    <t>S1.complimentary_fnb_gifts_services</t>
  </si>
  <si>
    <t>S1.complimentary_in_room_entertainment_cable_tv</t>
  </si>
  <si>
    <t>S1.corporate_office_reimbursables</t>
  </si>
  <si>
    <t>S1.dues_and_subscriptions</t>
  </si>
  <si>
    <t>S1.contract_services</t>
  </si>
  <si>
    <t>S1.guest_cleaning_operating_supplies</t>
  </si>
  <si>
    <t>S1.laundry_and_dry_cleaning</t>
  </si>
  <si>
    <t>S1.licenses_and_permits</t>
  </si>
  <si>
    <t>S1.linen</t>
  </si>
  <si>
    <t>S1.all_travel</t>
  </si>
  <si>
    <t>S1.reservations_opex</t>
  </si>
  <si>
    <t>S1.rooms_all_other</t>
  </si>
  <si>
    <t>S1.other_expenses</t>
  </si>
  <si>
    <t>S1.total_rooms_expenses</t>
  </si>
  <si>
    <t>S2.venue1_food_revenue</t>
  </si>
  <si>
    <t>S2.venue2_food_revenue</t>
  </si>
  <si>
    <t>S2.venue3_food_revenue</t>
  </si>
  <si>
    <t>S2.venue4_food_revenue</t>
  </si>
  <si>
    <t>S2.venue5_food_revenue</t>
  </si>
  <si>
    <t>S2.venue6_food_revenue</t>
  </si>
  <si>
    <t>S2.venue7_food_revenue</t>
  </si>
  <si>
    <t>S2.venue8_food_revenue</t>
  </si>
  <si>
    <t>S2.venue9_food_revenue</t>
  </si>
  <si>
    <t>S2.venue10_food_revenue</t>
  </si>
  <si>
    <t>S2.banquet_conference_catering_food_revenue</t>
  </si>
  <si>
    <t>S2.in_room_dining_food_revenue</t>
  </si>
  <si>
    <t>S2.food_allowances</t>
  </si>
  <si>
    <t>S2.food_other</t>
  </si>
  <si>
    <t>S2.food_revenue</t>
  </si>
  <si>
    <t>S2.venue1_beverage_revenue</t>
  </si>
  <si>
    <t>S2.venue2_beverage_revenue</t>
  </si>
  <si>
    <t>S2.venue3_beverage_revenue</t>
  </si>
  <si>
    <t>S2.venue4_beverage_revenue</t>
  </si>
  <si>
    <t>S2.venue5_beverage_revenue</t>
  </si>
  <si>
    <t>S2.venue6_beverage_revenue</t>
  </si>
  <si>
    <t>S2.venue7_beverage_revenue</t>
  </si>
  <si>
    <t>S2.venue8_beverage_revenue</t>
  </si>
  <si>
    <t>S2.venue9_beverage_revenue</t>
  </si>
  <si>
    <t>S2.venue10_beverage_revenue</t>
  </si>
  <si>
    <t>S2.banquet_conference_catering_beverage_revenue</t>
  </si>
  <si>
    <t>S2.in_room_dining_beverage_revenue</t>
  </si>
  <si>
    <t>S2.beverage_allowances</t>
  </si>
  <si>
    <t>S2.beverage_other</t>
  </si>
  <si>
    <t>S2.beverage_revenue</t>
  </si>
  <si>
    <t>S2.food_and_beverage_revenue</t>
  </si>
  <si>
    <t>S2.audiovisual</t>
  </si>
  <si>
    <t>S2.function_room_rental_and_setup_charges</t>
  </si>
  <si>
    <t>S2.surcharges_service_charges_other</t>
  </si>
  <si>
    <t>S2.other_revenue</t>
  </si>
  <si>
    <t>S2.total_food_and_beverage_revenue</t>
  </si>
  <si>
    <t>S2.cost_of_food_sales</t>
  </si>
  <si>
    <t>S2.cost_of_beverage_sales</t>
  </si>
  <si>
    <t>S2.cost_of_food_and_beverage_sales</t>
  </si>
  <si>
    <t>S2.audiovisual_cost</t>
  </si>
  <si>
    <t>S2.miscellaneous_cost</t>
  </si>
  <si>
    <t>S2.cost_of_other_revenue</t>
  </si>
  <si>
    <t>S2.total_cost_of_sales_and_other_revenue</t>
  </si>
  <si>
    <t>S2.management</t>
  </si>
  <si>
    <t>S2.service_management</t>
  </si>
  <si>
    <t>S2.kitchen_management</t>
  </si>
  <si>
    <t>S2.nonmanagement</t>
  </si>
  <si>
    <t>S2.kitchen_nonmanagement</t>
  </si>
  <si>
    <t>S2.service_nonmanagement</t>
  </si>
  <si>
    <t>S2.salaries_and_wages</t>
  </si>
  <si>
    <t>S2.bonuses_and_incentives</t>
  </si>
  <si>
    <t>S2.contracted_leased_and_outsourced_labor</t>
  </si>
  <si>
    <t>S2.service_charge_distribution</t>
  </si>
  <si>
    <t>S2.employee_benefits_health_insurance_workers_comp</t>
  </si>
  <si>
    <t>S2.payroll_taxes</t>
  </si>
  <si>
    <t>S2.supplemental_pay</t>
  </si>
  <si>
    <t>S2.total_payroll_related_expenses</t>
  </si>
  <si>
    <t>S2.labor_costs_and_related_expenses</t>
  </si>
  <si>
    <t>S2.other_expenses</t>
  </si>
  <si>
    <t>S2.total_food_and_beverage_expenses</t>
  </si>
  <si>
    <t>S3.total_parking_revenue</t>
  </si>
  <si>
    <t>S3.parking_cogs</t>
  </si>
  <si>
    <t>S3.parking_payroll</t>
  </si>
  <si>
    <t>S3.parking_opex</t>
  </si>
  <si>
    <t>S3.total_parking_expenses</t>
  </si>
  <si>
    <t>S3.spa_merchandise_sales_revenue</t>
  </si>
  <si>
    <t>S3.massage_and_body_treatment_revenue</t>
  </si>
  <si>
    <t>S3.spa</t>
  </si>
  <si>
    <t>S3.spa_cogs</t>
  </si>
  <si>
    <t>S3.spa_payroll</t>
  </si>
  <si>
    <t>S3.spa_opex</t>
  </si>
  <si>
    <t>S3.spa_expenses</t>
  </si>
  <si>
    <t>S3.retail_revenue</t>
  </si>
  <si>
    <t>S3.retail_cogs</t>
  </si>
  <si>
    <t>S3.retail_payroll</t>
  </si>
  <si>
    <t>S3.retail_opex</t>
  </si>
  <si>
    <t>S3.total_retail_expenses</t>
  </si>
  <si>
    <t>S3.recreation_revenue</t>
  </si>
  <si>
    <t>S3.recreation_expenses</t>
  </si>
  <si>
    <t>S3.minibar_revenue</t>
  </si>
  <si>
    <t>S3.minibar_expenses</t>
  </si>
  <si>
    <t>S3.total_golf_course_and_pro_shop_revenue</t>
  </si>
  <si>
    <t>S3.total_golf_course_and_pro_shop_expenses</t>
  </si>
  <si>
    <t>S3.other_department_revenue</t>
  </si>
  <si>
    <t>S3.other_department_expenses</t>
  </si>
  <si>
    <t>S3.total_other_operated_departments_revenue</t>
  </si>
  <si>
    <t>S3.total_other_operated_departments_expenses</t>
  </si>
  <si>
    <t>S4.attrition_and_cancellation_fees</t>
  </si>
  <si>
    <t>S4.destination_resort_urban_fees</t>
  </si>
  <si>
    <t>S4.space_rental_and_concessions</t>
  </si>
  <si>
    <t>S4.other_misc_income</t>
  </si>
  <si>
    <t>S4.total_miscellaneous_income</t>
  </si>
  <si>
    <t>S5.salaries_and_wages</t>
  </si>
  <si>
    <t>S5.bonuses_and_incentives</t>
  </si>
  <si>
    <t>S5.contracted_leased_and_outsourced_labor</t>
  </si>
  <si>
    <t>S5.employee_benefits_health_insurance_workers_comp</t>
  </si>
  <si>
    <t>S5.supplemental_pay</t>
  </si>
  <si>
    <t>S5.payroll_taxes</t>
  </si>
  <si>
    <t>S5.total_payroll_related_expenses</t>
  </si>
  <si>
    <t>S5.labor_costs_and_related_expenses</t>
  </si>
  <si>
    <t>S5.legal_services_and_professional_fees</t>
  </si>
  <si>
    <t>S5.accounting_charges</t>
  </si>
  <si>
    <t>S5.payroll_services</t>
  </si>
  <si>
    <t>S5.contract_services</t>
  </si>
  <si>
    <t>S5.dues_and_subscriptions</t>
  </si>
  <si>
    <t>S5.corporate_office_reimbursables</t>
  </si>
  <si>
    <t>S5.credit_card_commissions</t>
  </si>
  <si>
    <t>S5.human_resources</t>
  </si>
  <si>
    <t>S5.security</t>
  </si>
  <si>
    <t>S5.ag_all_other</t>
  </si>
  <si>
    <t>S5.other_expenses</t>
  </si>
  <si>
    <t>S5.total_administrative_and_general_expenses</t>
  </si>
  <si>
    <t>S6.cost_of_cell_phones</t>
  </si>
  <si>
    <t>S6.cost_of_internet</t>
  </si>
  <si>
    <t>S6.complimentary_in_room_entertainment_cable_tv</t>
  </si>
  <si>
    <t>S6.other_cost_of_services</t>
  </si>
  <si>
    <t>S6.cost_of_services</t>
  </si>
  <si>
    <t>S6.salaries_and_wages</t>
  </si>
  <si>
    <t>S6.bonuses_and_incentives</t>
  </si>
  <si>
    <t>S6.contracted_leased_and_outsourced_labor</t>
  </si>
  <si>
    <t>S6.employee_benefits_health_insurance_workers_comp</t>
  </si>
  <si>
    <t>S6.supplemental_pay</t>
  </si>
  <si>
    <t>S6.payroll_taxes</t>
  </si>
  <si>
    <t>S6.payroll_related_expenses</t>
  </si>
  <si>
    <t>S6.labor_costs_and_related_expenses</t>
  </si>
  <si>
    <t>S6.system_expenses</t>
  </si>
  <si>
    <t>S6.brand_program_fees_and_corporate_office_reimbursables</t>
  </si>
  <si>
    <t>S6.all_other_expenses</t>
  </si>
  <si>
    <t>S6.other_expenses</t>
  </si>
  <si>
    <t>S6.total_information_and_telecommunications_systems_expenses</t>
  </si>
  <si>
    <t>S7.salaries_and_wages</t>
  </si>
  <si>
    <t>S7.bonuses_and_incentives</t>
  </si>
  <si>
    <t>S7.contracted_leased_and_outsourced_labor</t>
  </si>
  <si>
    <t>S7.employee_benefits_health_insurance_workers_comp</t>
  </si>
  <si>
    <t>S7.supplemental_pay</t>
  </si>
  <si>
    <t>S7.payroll_taxes</t>
  </si>
  <si>
    <t>S7.payroll_related_expenses</t>
  </si>
  <si>
    <t>S7.labor_costs_and_related_expenses</t>
  </si>
  <si>
    <t>S7.agency_fees</t>
  </si>
  <si>
    <t>S7.outside_services_market_research</t>
  </si>
  <si>
    <t>S7.website</t>
  </si>
  <si>
    <t>S7.photography</t>
  </si>
  <si>
    <t>S7.trade_shows_and_travel</t>
  </si>
  <si>
    <t>S7.promotion</t>
  </si>
  <si>
    <t>S7.corporate_office_reimbursables</t>
  </si>
  <si>
    <t>S7.contract_services</t>
  </si>
  <si>
    <t>S7.media_ecommerce_digital</t>
  </si>
  <si>
    <t>S7.marketing_fees_revenue_fees</t>
  </si>
  <si>
    <t>S7.franchise_and_affiliation_fees_royalties</t>
  </si>
  <si>
    <t>S7.franchise_and_affiliation_marketing</t>
  </si>
  <si>
    <t>S7.dues_and_subscriptions</t>
  </si>
  <si>
    <t>S7.loyalty_programs</t>
  </si>
  <si>
    <t>S7.sm_all_other</t>
  </si>
  <si>
    <t>S7.other_expenses</t>
  </si>
  <si>
    <t>S7.total_sales_and_marketing_expenses</t>
  </si>
  <si>
    <t>S8.salaries_and_wages</t>
  </si>
  <si>
    <t>S8.bonuses_and_incentives</t>
  </si>
  <si>
    <t>S8.contracted_leased_and_outsourced_labor</t>
  </si>
  <si>
    <t>S8.employee_benefits_health_insurance_workers_comp</t>
  </si>
  <si>
    <t>S8.supplemental_pay</t>
  </si>
  <si>
    <t>S8.payroll_taxes</t>
  </si>
  <si>
    <t>S8.payroll_related_expenses</t>
  </si>
  <si>
    <t>S8.labor_costs_and_related_expenses</t>
  </si>
  <si>
    <t>S8.contract_services</t>
  </si>
  <si>
    <t>S8.grounds_maintenance_and_landscaping</t>
  </si>
  <si>
    <t>S8.waste_removal</t>
  </si>
  <si>
    <t>S8.hvac</t>
  </si>
  <si>
    <t>S8.elevators</t>
  </si>
  <si>
    <t>S8.building</t>
  </si>
  <si>
    <t>S8.pom_all_other</t>
  </si>
  <si>
    <t>S8.other_expenses</t>
  </si>
  <si>
    <t>S8.total_property_operation_and_maintenance_expenses</t>
  </si>
  <si>
    <t>S9.energy</t>
  </si>
  <si>
    <t>S9.water_and_sewer</t>
  </si>
  <si>
    <t>S9.waste_removal</t>
  </si>
  <si>
    <t>S9.utilities_all_other</t>
  </si>
  <si>
    <t>S9.total_utilities_expenses</t>
  </si>
  <si>
    <t>S10.base_fee</t>
  </si>
  <si>
    <t>S10.incentive_and_other_fees</t>
  </si>
  <si>
    <t>S10.total_management_fees</t>
  </si>
  <si>
    <t>S11.rent</t>
  </si>
  <si>
    <t>S11.property_and_other_taxes</t>
  </si>
  <si>
    <t>S11.insurance</t>
  </si>
  <si>
    <t>S11.property_insurance</t>
  </si>
  <si>
    <t>S11.general_liability_insurance</t>
  </si>
  <si>
    <t>S11.non_operating_income</t>
  </si>
  <si>
    <t>S11.other</t>
  </si>
  <si>
    <t>S11.total_non_operating_income_and_expenses</t>
  </si>
  <si>
    <t>KHP UNDERWRITING MODEL INPUTS</t>
  </si>
  <si>
    <t>Keys</t>
  </si>
  <si>
    <t>Rooms Available</t>
  </si>
  <si>
    <t>Rooms Sold</t>
  </si>
  <si>
    <t>Occupancy</t>
  </si>
  <si>
    <t>ADR</t>
  </si>
  <si>
    <t>RevPAR</t>
  </si>
  <si>
    <t>Total RevPAR</t>
  </si>
  <si>
    <t>GOPAR</t>
  </si>
  <si>
    <t>Revenue (POR)</t>
  </si>
  <si>
    <t>Rooms</t>
  </si>
  <si>
    <t>Food &amp; Beverage</t>
  </si>
  <si>
    <t>Mini Bar</t>
  </si>
  <si>
    <t>Room Service</t>
  </si>
  <si>
    <t>All other F&amp;B Revenue / F&amp;B Allowances</t>
  </si>
  <si>
    <t>Banquets</t>
  </si>
  <si>
    <t>Other F&amp;B Revenue</t>
  </si>
  <si>
    <t>Parking</t>
  </si>
  <si>
    <t>Spa</t>
  </si>
  <si>
    <t>Spa Services</t>
  </si>
  <si>
    <t>Spa Shop</t>
  </si>
  <si>
    <t>Retail Shop</t>
  </si>
  <si>
    <t>Other Operated</t>
  </si>
  <si>
    <t>Recreation</t>
  </si>
  <si>
    <t>Golf</t>
  </si>
  <si>
    <t>All Other OOD</t>
  </si>
  <si>
    <t>Miscellaneous Income</t>
  </si>
  <si>
    <t>Resort Fees</t>
  </si>
  <si>
    <t>Space Rental</t>
  </si>
  <si>
    <t>Other Misc. Income</t>
  </si>
  <si>
    <t>Total Revenue</t>
  </si>
  <si>
    <t>Total Revenue (POR)</t>
  </si>
  <si>
    <t>Departmental Expenses</t>
  </si>
  <si>
    <t>Salaries &amp; Wages (POR)</t>
  </si>
  <si>
    <t>Payroll Taxes &amp; Employee Benefits (% of S&amp;W)</t>
  </si>
  <si>
    <t>Total Rooms Payroll (POR)</t>
  </si>
  <si>
    <t>Travel Agent Commissions (% of Rms. Rev.)</t>
  </si>
  <si>
    <t>Reservation Expense (% of Rms. Rev.)</t>
  </si>
  <si>
    <t>Operating, Cleaning &amp; Guest Supplies (POR)</t>
  </si>
  <si>
    <t>Complimentary Gifts &amp; Services (POR)</t>
  </si>
  <si>
    <t>Laundry &amp; Dry Cleaning (POR)</t>
  </si>
  <si>
    <t>Other Rooms Expense (POR)</t>
  </si>
  <si>
    <t>Total Other Rooms Expense (POR)</t>
  </si>
  <si>
    <t>Total Rooms Expense</t>
  </si>
  <si>
    <t>Total Rooms Expense %</t>
  </si>
  <si>
    <t>Total Rooms Expense POR</t>
  </si>
  <si>
    <t>F&amp;B Consolidated COGS (%)</t>
  </si>
  <si>
    <t>F&amp;B Consolidated Payroll (%)</t>
  </si>
  <si>
    <t>F&amp;B Consolidated Op. Ex. (%)</t>
  </si>
  <si>
    <t>Mini Bar COGS (%)</t>
  </si>
  <si>
    <t>Mini Bar Payroll (%)</t>
  </si>
  <si>
    <t>Mini Bar Op. Ex. (%)</t>
  </si>
  <si>
    <t>Room Service COGS (%)</t>
  </si>
  <si>
    <t>Room Service Payroll (%)</t>
  </si>
  <si>
    <t>Room Service Op. Ex. (%)</t>
  </si>
  <si>
    <t>Outlet 1</t>
  </si>
  <si>
    <t>Outlet 1 COGS (%)</t>
  </si>
  <si>
    <t>Outlet 1 Payroll (%)</t>
  </si>
  <si>
    <t>Outlet 1 Op. Ex. (%)</t>
  </si>
  <si>
    <t>Outlet 2</t>
  </si>
  <si>
    <t>Outlet 2 COGS (%)</t>
  </si>
  <si>
    <t>Outlet 2 Payroll (%)</t>
  </si>
  <si>
    <t>Outlet 2 Op. Ex. (%)</t>
  </si>
  <si>
    <t>Outlet 3</t>
  </si>
  <si>
    <t>Outlet 3 COGS (%)</t>
  </si>
  <si>
    <t>Outlet 3 Payroll (%)</t>
  </si>
  <si>
    <t>Outlet 3 Op. Ex. (%)</t>
  </si>
  <si>
    <t>Outlet 4</t>
  </si>
  <si>
    <t>Outlet 4 COGS (%)</t>
  </si>
  <si>
    <t>Outlet 4 Payroll (%)</t>
  </si>
  <si>
    <t>Outlet 4 Op. Ex. (%)</t>
  </si>
  <si>
    <t>Outlet 5</t>
  </si>
  <si>
    <t>Outlet 5 COGS (%)</t>
  </si>
  <si>
    <t>Outlet 5 Payroll (%)</t>
  </si>
  <si>
    <t>Outlet 5 Op. Ex. (%)</t>
  </si>
  <si>
    <t>Banquets COGS (%)</t>
  </si>
  <si>
    <t>Banquets Payroll (%)</t>
  </si>
  <si>
    <t>Banquets Op. Ex. (%)</t>
  </si>
  <si>
    <t>Other F&amp;B Expense</t>
  </si>
  <si>
    <t>Parking COGS (%)</t>
  </si>
  <si>
    <t>Parking Payroll (%)</t>
  </si>
  <si>
    <t>Parking Op. Ex. (%)</t>
  </si>
  <si>
    <t>Spa COGS (%)</t>
  </si>
  <si>
    <t>Spa Payroll (%)</t>
  </si>
  <si>
    <t>Spa Op. Ex. (%)</t>
  </si>
  <si>
    <t>Spa Management Fees (%)</t>
  </si>
  <si>
    <t>Retail Shop COGS (%)</t>
  </si>
  <si>
    <t>Retail Shop Payroll (%)</t>
  </si>
  <si>
    <t>Retail Shop Op. Ex. (%)</t>
  </si>
  <si>
    <t>Total Departmental Expenses</t>
  </si>
  <si>
    <t>Total Departmental Expenses (%)</t>
  </si>
  <si>
    <t>Total Departmental Profit</t>
  </si>
  <si>
    <t>Total Departmental Profit (%)</t>
  </si>
  <si>
    <t>Total Departmental Profit (POR)</t>
  </si>
  <si>
    <t>Undistributed Operating Expenses</t>
  </si>
  <si>
    <t>A&amp;G</t>
  </si>
  <si>
    <t>Salaries &amp; Wages (PAR)</t>
  </si>
  <si>
    <t>Total A&amp;G Payroll (PAR)</t>
  </si>
  <si>
    <t>Credit Card Commissions (% of Rev.)</t>
  </si>
  <si>
    <t>Corporate Office Reimbursables (PAR)</t>
  </si>
  <si>
    <t>Human Resources (PAR)</t>
  </si>
  <si>
    <t>Security (PAR)</t>
  </si>
  <si>
    <t>Other A&amp;G Expenses (PAR)</t>
  </si>
  <si>
    <t>Total Other A&amp;G Expense (PAR)</t>
  </si>
  <si>
    <t>Total A&amp;G Expense</t>
  </si>
  <si>
    <t>Total A&amp;G Expense %</t>
  </si>
  <si>
    <t>Total A&amp;G Expense PAR</t>
  </si>
  <si>
    <t>IT</t>
  </si>
  <si>
    <t>Total IT Payroll (PAR)</t>
  </si>
  <si>
    <t>Cost of Services (PAR)</t>
  </si>
  <si>
    <t>System Expenses (PAR)</t>
  </si>
  <si>
    <t>Other Expenses (PAR)</t>
  </si>
  <si>
    <t>Total IT Expense</t>
  </si>
  <si>
    <t>Total IT Expense %</t>
  </si>
  <si>
    <t>Total IT Expense PAR</t>
  </si>
  <si>
    <t>S&amp;M</t>
  </si>
  <si>
    <t>Total S&amp;M Payroll (PAR)</t>
  </si>
  <si>
    <t>Agency Fees (PAR)</t>
  </si>
  <si>
    <t>Corporate Office Reimbursables (% of Rev.)</t>
  </si>
  <si>
    <t>Contract Services (PAR)</t>
  </si>
  <si>
    <t>Media (PAR)</t>
  </si>
  <si>
    <t>Loyalty Programs (% of Rms. Rev.)</t>
  </si>
  <si>
    <t>Capture %</t>
  </si>
  <si>
    <t>Other S&amp;M Expenses (PAR)</t>
  </si>
  <si>
    <t>Total Other S&amp;M Expense (PAR)</t>
  </si>
  <si>
    <t>Total S&amp;M Expense</t>
  </si>
  <si>
    <t>Total S&amp;M Expense %</t>
  </si>
  <si>
    <t>Total S&amp;M Expense PAR</t>
  </si>
  <si>
    <t>Franchise Fees - incl. brand/mktg. fees for non-franchise hotels</t>
  </si>
  <si>
    <t>Franchise Fees - Royalties (% of Rms. Rev.)</t>
  </si>
  <si>
    <t>Franchise Fees - F&amp;B Royalties (% of F&amp;B Rev.)</t>
  </si>
  <si>
    <t>Franchise &amp; Affiliation Marketing Fees (% of Rms. Rev.)</t>
  </si>
  <si>
    <t>Franchise Fees - Fixed (PAR)</t>
  </si>
  <si>
    <t>Total Franchise Fees Expense</t>
  </si>
  <si>
    <t>Total Franchise Fees Expense %</t>
  </si>
  <si>
    <t>Total Franchise Fees Expense PAR</t>
  </si>
  <si>
    <t>PO&amp;M</t>
  </si>
  <si>
    <t>Total PO&amp;M Payroll (PAR)</t>
  </si>
  <si>
    <t>Grounds Maintenance &amp; Landscaping (PAR)</t>
  </si>
  <si>
    <t>Other PO&amp;M Expenses (PAR)</t>
  </si>
  <si>
    <t>Total Other PO&amp;M Expense (PAR)</t>
  </si>
  <si>
    <t>Total PO&amp;M Expense</t>
  </si>
  <si>
    <t>Total PO&amp;M Expense %</t>
  </si>
  <si>
    <t>Total PO&amp;M Expense PAR</t>
  </si>
  <si>
    <t>Utilities</t>
  </si>
  <si>
    <t>Total Utilities Expense</t>
  </si>
  <si>
    <t>Total Utilities Expense %</t>
  </si>
  <si>
    <t>Estimate of Fixed Expense %</t>
  </si>
  <si>
    <t>Estimate of Variable Expense %</t>
  </si>
  <si>
    <t>Variable Utilities Expense POR</t>
  </si>
  <si>
    <t>Fixed Utilities Expense PAR</t>
  </si>
  <si>
    <t>Total Undistributed Expenses</t>
  </si>
  <si>
    <t>Total Undistributed Expenses (%)</t>
  </si>
  <si>
    <t>Gross Operating Profit</t>
  </si>
  <si>
    <t>Gross Operating Profit (%)</t>
  </si>
  <si>
    <t>Management Fees</t>
  </si>
  <si>
    <t>Base Management Fees (%)</t>
  </si>
  <si>
    <t>Incentive Management Fees (%)</t>
  </si>
  <si>
    <t>Total Management Fees</t>
  </si>
  <si>
    <t>Income Before Non-Operating Income &amp; Expenses</t>
  </si>
  <si>
    <t>Income Before Non-Operating Income &amp; Expenses (%)</t>
  </si>
  <si>
    <t>Non-Operating Income &amp; Expenses</t>
  </si>
  <si>
    <t>Income (PAR)</t>
  </si>
  <si>
    <t>Rent Expense (% of Rev.)</t>
  </si>
  <si>
    <t>Property &amp; Other Taxes (PAR)</t>
  </si>
  <si>
    <t>Insurance (PAR)</t>
  </si>
  <si>
    <t>Property Insurance</t>
  </si>
  <si>
    <t>Liability Insurance</t>
  </si>
  <si>
    <t>Other (PAR)</t>
  </si>
  <si>
    <t>Total Non-Operating Income &amp; Expenses</t>
  </si>
  <si>
    <t>EBITDA</t>
  </si>
  <si>
    <t>EBITDA (%)</t>
  </si>
  <si>
    <t>S1.other_transient_rooms_revenue</t>
  </si>
  <si>
    <t>S1.other_group_rooms_revenue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</si>
</sst>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#,##0_);[Red]_(\(#,##0\);_(\ \-\ _);@_)"/>
    <numFmt numFmtId="165" formatCode="0.0_)%;\(0.0\)%;0.0%_);@_)_%"/>
    <numFmt numFmtId="166" formatCode="_(#,##0.00_);[Red]_(\(#,##0.00\);_(\ \-\ _);@_)"/>
    <numFmt numFmtId="167" formatCode="0.0_)%;\(0.0\)%;0.0_)%;@_)_%"/>
    <numFmt numFmtId="168" formatCode="_(&quot;$&quot;* #,##0.00_);_(&quot;$&quot;* \(#,##0.00\);_(&quot;$&quot;* \-\ _);@_)"/>
  </numFmts>
  <fonts count="17" x14ac:knownFonts="1">
    <font>
      <sz val="11"/>
      <color theme="1"/>
      <name val="Aptos Narrow"/>
    </font>
    <font>
      <sz val="11"/>
      <color theme="1"/>
      <name val="Aptos Narrow"/>
    </font>
    <font>
      <sz val="11"/>
      <color theme="1"/>
      <name val="Calibri"/>
    </font>
    <font>
      <b/>
      <sz val="11"/>
      <color indexed="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sz val="9"/>
      <color theme="1"/>
      <name val="Calibri"/>
    </font>
    <font>
      <sz val="9"/>
      <color theme="1"/>
      <name val="Aptos Narrow"/>
    </font>
    <font>
      <b/>
      <sz val="9"/>
      <color indexed="9"/>
      <name val="Calibri"/>
    </font>
    <font>
      <b/>
      <sz val="9"/>
      <color theme="1"/>
      <name val="Calibri"/>
    </font>
    <font>
      <sz val="9"/>
      <color theme="1"/>
      <name val="Calibri"/>
    </font>
    <font>
      <sz val="9"/>
      <color indexed="12"/>
      <name val="Calibri"/>
    </font>
    <font>
      <b/>
      <sz val="9"/>
      <color theme="1"/>
      <name val="Calibri"/>
    </font>
    <font>
      <sz val="9"/>
      <name val="Calibri"/>
    </font>
    <font>
      <sz val="9"/>
      <color indexed="12"/>
      <name val="Calibri"/>
    </font>
    <font>
      <i/>
      <sz val="9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617A"/>
      </patternFill>
    </fill>
    <fill>
      <patternFill patternType="solid">
        <fgColor rgb="FF39617A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/>
  </cellStyleXfs>
  <cellXfs count="5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164" fontId="2" fillId="0" borderId="0" xfId="0" applyNumberFormat="1" applyFont="1"/>
    <xf numFmtId="0" fontId="2" fillId="0" borderId="0" xfId="1" applyNumberFormat="1" applyFont="1" applyAlignment="1">
      <alignment horizontal="left" wrapText="1"/>
    </xf>
    <xf numFmtId="0" fontId="2" fillId="0" borderId="0" xfId="0" applyFont="1" applyAlignment="1">
      <alignment wrapText="1"/>
    </xf>
    <xf numFmtId="165" fontId="2" fillId="0" borderId="0" xfId="0" applyNumberFormat="1" applyFont="1"/>
    <xf numFmtId="166" fontId="2" fillId="0" borderId="0" xfId="0" applyNumberFormat="1" applyFont="1"/>
    <xf numFmtId="0" fontId="4" fillId="3" borderId="0" xfId="0" applyFont="1" applyFill="1"/>
    <xf numFmtId="0" fontId="5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left"/>
    </xf>
    <xf numFmtId="0" fontId="10" fillId="0" borderId="0" xfId="0" applyFont="1"/>
    <xf numFmtId="0" fontId="10" fillId="0" borderId="2" xfId="0" applyFont="1" applyBorder="1" applyAlignment="1">
      <alignment horizontal="right"/>
    </xf>
    <xf numFmtId="0" fontId="10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11" fillId="0" borderId="0" xfId="0" applyFont="1"/>
    <xf numFmtId="167" fontId="12" fillId="0" borderId="0" xfId="0" applyNumberFormat="1" applyFont="1"/>
    <xf numFmtId="168" fontId="12" fillId="0" borderId="0" xfId="0" applyNumberFormat="1" applyFont="1"/>
    <xf numFmtId="168" fontId="7" fillId="0" borderId="0" xfId="0" applyNumberFormat="1" applyFont="1"/>
    <xf numFmtId="0" fontId="10" fillId="0" borderId="0" xfId="0" applyFont="1" applyAlignment="1">
      <alignment horizontal="centerContinuous"/>
    </xf>
    <xf numFmtId="0" fontId="13" fillId="0" borderId="0" xfId="0" applyFont="1"/>
    <xf numFmtId="0" fontId="11" fillId="0" borderId="0" xfId="0" applyFont="1" applyAlignment="1">
      <alignment horizontal="left" indent="2"/>
    </xf>
    <xf numFmtId="38" fontId="12" fillId="0" borderId="0" xfId="0" applyNumberFormat="1" applyFont="1"/>
    <xf numFmtId="38" fontId="14" fillId="0" borderId="0" xfId="0" applyNumberFormat="1" applyFont="1"/>
    <xf numFmtId="0" fontId="11" fillId="0" borderId="0" xfId="0" applyFont="1" applyAlignment="1">
      <alignment horizontal="left" indent="5"/>
    </xf>
    <xf numFmtId="0" fontId="15" fillId="0" borderId="0" xfId="0" applyFont="1" applyAlignment="1">
      <alignment horizontal="left" indent="5"/>
    </xf>
    <xf numFmtId="0" fontId="13" fillId="0" borderId="0" xfId="0" applyFont="1" applyAlignment="1">
      <alignment horizontal="left"/>
    </xf>
    <xf numFmtId="38" fontId="10" fillId="0" borderId="1" xfId="0" applyNumberFormat="1" applyFont="1" applyBorder="1"/>
    <xf numFmtId="40" fontId="10" fillId="0" borderId="2" xfId="0" applyNumberFormat="1" applyFont="1" applyBorder="1"/>
    <xf numFmtId="0" fontId="11" fillId="0" borderId="0" xfId="0" applyFont="1" applyAlignment="1">
      <alignment horizontal="left" indent="8"/>
    </xf>
    <xf numFmtId="38" fontId="14" fillId="0" borderId="3" xfId="0" applyNumberFormat="1" applyFont="1" applyBorder="1"/>
    <xf numFmtId="38" fontId="7" fillId="0" borderId="1" xfId="0" applyNumberFormat="1" applyFont="1" applyBorder="1"/>
    <xf numFmtId="167" fontId="7" fillId="0" borderId="0" xfId="0" applyNumberFormat="1" applyFont="1"/>
    <xf numFmtId="40" fontId="7" fillId="0" borderId="2" xfId="0" applyNumberFormat="1" applyFont="1" applyBorder="1"/>
    <xf numFmtId="38" fontId="7" fillId="0" borderId="0" xfId="0" applyNumberFormat="1" applyFont="1"/>
    <xf numFmtId="0" fontId="11" fillId="0" borderId="0" xfId="0" applyFont="1" applyAlignment="1">
      <alignment horizontal="left" indent="3"/>
    </xf>
    <xf numFmtId="0" fontId="11" fillId="0" borderId="0" xfId="0" applyFont="1" applyAlignment="1">
      <alignment horizontal="left" indent="4"/>
    </xf>
    <xf numFmtId="38" fontId="11" fillId="0" borderId="4" xfId="0" applyNumberFormat="1" applyFont="1" applyBorder="1"/>
    <xf numFmtId="0" fontId="11" fillId="0" borderId="0" xfId="0" applyFont="1" applyAlignment="1">
      <alignment horizontal="left" indent="7"/>
    </xf>
    <xf numFmtId="38" fontId="15" fillId="0" borderId="4" xfId="0" applyNumberFormat="1" applyFont="1" applyBorder="1"/>
    <xf numFmtId="0" fontId="11" fillId="0" borderId="0" xfId="0" applyFont="1" applyAlignment="1">
      <alignment horizontal="left" indent="6"/>
    </xf>
    <xf numFmtId="167" fontId="10" fillId="0" borderId="2" xfId="0" applyNumberFormat="1" applyFont="1" applyBorder="1"/>
    <xf numFmtId="167" fontId="10" fillId="0" borderId="0" xfId="0" applyNumberFormat="1" applyFont="1"/>
    <xf numFmtId="38" fontId="7" fillId="0" borderId="2" xfId="0" applyNumberFormat="1" applyFont="1" applyBorder="1"/>
    <xf numFmtId="0" fontId="16" fillId="0" borderId="0" xfId="0" applyFont="1" applyAlignment="1">
      <alignment horizontal="left" indent="8"/>
    </xf>
    <xf numFmtId="38" fontId="7" fillId="0" borderId="3" xfId="0" applyNumberFormat="1" applyFont="1" applyBorder="1"/>
    <xf numFmtId="38" fontId="12" fillId="0" borderId="1" xfId="0" applyNumberFormat="1" applyFont="1" applyBorder="1"/>
    <xf numFmtId="167" fontId="14" fillId="0" borderId="0" xfId="0" applyNumberFormat="1" applyFont="1"/>
    <xf numFmtId="40" fontId="14" fillId="0" borderId="0" xfId="0" applyNumberFormat="1" applyFont="1"/>
    <xf numFmtId="38" fontId="12" fillId="0" borderId="3" xfId="0" applyNumberFormat="1" applyFont="1" applyBorder="1"/>
  </cellXfs>
  <cellStyles count="2">
    <cellStyle name="Comma" xfId="1" xr:uid="{00000000-0005-0000-0000-000000000000}"/>
    <cellStyle name="Normal" xfId="0" builtinId="0"/>
  </cellStyles>
  <dxfs count="1">
    <dxf>
      <fill>
        <patternFill patternType="solid">
          <bgColor rgb="FFEEEC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276227</xdr:colOff>
      <xdr:row>18</xdr:row>
      <xdr:rowOff>0</xdr:rowOff>
    </xdr:from>
    <xdr:to>
      <xdr:col>25</xdr:col>
      <xdr:colOff>920751</xdr:colOff>
      <xdr:row>30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>
        <a:xfrm>
          <a:off x="5734052" y="914400"/>
          <a:ext cx="3819524" cy="977900"/>
        </a:xfrm>
        <a:prstGeom prst="rect">
          <a:avLst/>
        </a:prstGeom>
        <a:solidFill>
          <a:srgbClr val="EEECE1"/>
        </a:solidFill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anchor="t"/>
        <a:lstStyle/>
        <a:p>
          <a:r>
            <a:rPr sz="900" b="1" u="sng">
              <a:latin typeface="Calibri"/>
              <a:ea typeface="Calibri"/>
              <a:cs typeface="Calibri"/>
            </a:rPr>
            <a:t>Model Input:</a:t>
          </a:r>
          <a:endParaRPr/>
        </a:p>
        <a:p>
          <a:r>
            <a:rPr sz="900">
              <a:latin typeface="Calibri"/>
              <a:ea typeface="Calibri"/>
              <a:cs typeface="Calibri"/>
            </a:rPr>
            <a:t>1) Detach this sheet into a new workbook (right click sheet &gt; move or copy)</a:t>
          </a:r>
          <a:endParaRPr/>
        </a:p>
        <a:p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900">
              <a:solidFill>
                <a:schemeClr val="dk1"/>
              </a:solidFill>
              <a:latin typeface="+mn-lt"/>
              <a:ea typeface="+mn-lt"/>
              <a:cs typeface="+mn-lt"/>
            </a:rPr>
            <a:t>2) Go to the Data ribbon and break external links to this workbook</a:t>
          </a:r>
          <a:endParaRPr/>
        </a:p>
        <a:p>
          <a:r>
            <a:rPr sz="900">
              <a:latin typeface="Calibri"/>
              <a:ea typeface="Calibri"/>
              <a:cs typeface="Calibri"/>
            </a:rPr>
            <a:t>3) Internal formulas should survive while blue inputs become hardcoded</a:t>
          </a:r>
          <a:endParaRPr/>
        </a:p>
        <a:p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900">
              <a:solidFill>
                <a:schemeClr val="dk1"/>
              </a:solidFill>
              <a:latin typeface="+mn-lt"/>
              <a:ea typeface="+mn-lt"/>
              <a:cs typeface="+mn-lt"/>
            </a:rPr>
            <a:t>4) Copy paste rows 29:239 into the period you want in the Projections tab</a:t>
          </a:r>
          <a:endParaRPr/>
        </a:p>
        <a:p>
          <a:pPr marL="0" marR="0" indent="0" defTabSz="91440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sz="900">
              <a:solidFill>
                <a:schemeClr val="dk1"/>
              </a:solidFill>
              <a:latin typeface="+mn-lt"/>
              <a:ea typeface="+mn-lt"/>
              <a:cs typeface="+mn-lt"/>
            </a:rPr>
            <a:t>5) Update rooms sold so it's a formula driven off occupancy</a:t>
          </a:r>
          <a:endParaRPr/>
        </a:p>
        <a:p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showGridLines="0" workbookViewId="0"/>
  </sheetViews>
  <sheetFormatPr defaultRowHeight="14.5" x14ac:dyDescent="0.35"/>
  <cols>
    <col min="1" max="1" width="2.7265625" customWidth="1"/>
    <col min="2" max="2" width="28" customWidth="1"/>
    <col min="3" max="3" width="95" customWidth="1"/>
    <col min="4" max="4" width="8.7265625" customWidth="1"/>
  </cols>
  <sheetData>
    <row r="2" spans="2:3" x14ac:dyDescent="0.35">
      <c r="B2" s="9" t="s">
        <v>0</v>
      </c>
      <c r="C2" s="9"/>
    </row>
    <row r="3" spans="2:3" x14ac:dyDescent="0.35">
      <c r="C3" s="12"/>
    </row>
    <row r="4" spans="2:3" x14ac:dyDescent="0.35">
      <c r="B4" s="10" t="s">
        <v>1</v>
      </c>
      <c r="C4" s="11"/>
    </row>
    <row r="5" spans="2:3" x14ac:dyDescent="0.35">
      <c r="B5" s="10" t="s">
        <v>2</v>
      </c>
      <c r="C5" s="11"/>
    </row>
    <row r="6" spans="2:3" x14ac:dyDescent="0.35">
      <c r="B6" s="10" t="s">
        <v>3</v>
      </c>
      <c r="C6" s="11"/>
    </row>
    <row r="7" spans="2:3" x14ac:dyDescent="0.35">
      <c r="B7" s="10" t="s">
        <v>4</v>
      </c>
      <c r="C7" s="11"/>
    </row>
    <row r="8" spans="2:3" x14ac:dyDescent="0.35">
      <c r="B8" s="10" t="s">
        <v>5</v>
      </c>
      <c r="C8" s="11"/>
    </row>
    <row r="9" spans="2:3" x14ac:dyDescent="0.35">
      <c r="B9" s="10" t="s">
        <v>6</v>
      </c>
      <c r="C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273"/>
  <sheetViews>
    <sheetView showGridLines="0" tabSelected="1" workbookViewId="0">
      <pane xSplit="2" ySplit="2" topLeftCell="C260" activePane="bottomRight" state="frozen"/>
      <selection pane="topRight" activeCell="C1" sqref="C1"/>
      <selection pane="bottomLeft" activeCell="A3" sqref="A3"/>
      <selection pane="bottomRight" activeCell="B267" sqref="B267"/>
    </sheetView>
  </sheetViews>
  <sheetFormatPr defaultColWidth="14.453125" defaultRowHeight="14.5" x14ac:dyDescent="0.35"/>
  <cols>
    <col min="1" max="1" width="3.54296875" style="1" customWidth="1"/>
    <col min="2" max="2" width="61.453125" style="1" customWidth="1"/>
    <col min="3" max="3" width="14.453125" style="1" customWidth="1"/>
    <col min="4" max="4" width="14.453125" hidden="1" customWidth="1"/>
    <col min="5" max="8" width="14.453125" style="1" hidden="1" customWidth="1"/>
    <col min="9" max="22" width="14.453125" hidden="1" customWidth="1"/>
    <col min="23" max="23" width="75" customWidth="1"/>
    <col min="24" max="24" width="55" customWidth="1"/>
    <col min="25" max="25" width="14" customWidth="1"/>
    <col min="26" max="16384" width="14.453125" style="1"/>
  </cols>
  <sheetData>
    <row r="2" spans="2:25" x14ac:dyDescent="0.35">
      <c r="B2" s="2" t="s">
        <v>7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8</v>
      </c>
      <c r="X2" s="2" t="s">
        <v>9</v>
      </c>
      <c r="Y2" s="2" t="s">
        <v>10</v>
      </c>
    </row>
    <row r="3" spans="2:25" x14ac:dyDescent="0.35">
      <c r="B3" s="1" t="s">
        <v>11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  <c r="X3" s="6"/>
    </row>
    <row r="4" spans="2:25" x14ac:dyDescent="0.35">
      <c r="B4" s="1" t="s">
        <v>12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/>
      <c r="X4" s="6"/>
    </row>
    <row r="5" spans="2:25" x14ac:dyDescent="0.35">
      <c r="B5" s="1" t="s">
        <v>13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5"/>
      <c r="X5" s="6"/>
    </row>
    <row r="6" spans="2:25" x14ac:dyDescent="0.35">
      <c r="B6" s="1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5"/>
      <c r="X6" s="6"/>
    </row>
    <row r="7" spans="2:25" x14ac:dyDescent="0.35">
      <c r="B7" s="1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5"/>
      <c r="X7" s="6"/>
    </row>
    <row r="8" spans="2:25" x14ac:dyDescent="0.35">
      <c r="B8" s="1" t="s">
        <v>16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6"/>
    </row>
    <row r="9" spans="2:25" x14ac:dyDescent="0.35">
      <c r="B9" s="1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5"/>
      <c r="X9" s="6"/>
    </row>
    <row r="10" spans="2:25" x14ac:dyDescent="0.35">
      <c r="B10" s="1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5"/>
      <c r="X10" s="6"/>
    </row>
    <row r="11" spans="2:25" x14ac:dyDescent="0.35">
      <c r="B11" s="1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5"/>
      <c r="X11" s="6"/>
    </row>
    <row r="12" spans="2:25" x14ac:dyDescent="0.35">
      <c r="B12" s="1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  <c r="X12" s="6"/>
    </row>
    <row r="13" spans="2:25" x14ac:dyDescent="0.35">
      <c r="B13" s="1" t="s">
        <v>21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  <c r="X13" s="6"/>
    </row>
    <row r="14" spans="2:25" x14ac:dyDescent="0.35">
      <c r="B14" s="1" t="s">
        <v>22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6"/>
    </row>
    <row r="15" spans="2:25" x14ac:dyDescent="0.35">
      <c r="B15" s="1" t="s">
        <v>23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  <c r="X15" s="6"/>
    </row>
    <row r="16" spans="2:25" x14ac:dyDescent="0.35">
      <c r="B16" s="1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  <c r="X16" s="6"/>
    </row>
    <row r="17" spans="2:24" x14ac:dyDescent="0.35">
      <c r="B17" s="1" t="s">
        <v>25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/>
      <c r="X17" s="6"/>
    </row>
    <row r="18" spans="2:24" x14ac:dyDescent="0.35">
      <c r="B18" s="1" t="s">
        <v>26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5"/>
      <c r="X18" s="6"/>
    </row>
    <row r="19" spans="2:24" x14ac:dyDescent="0.35">
      <c r="B19" s="1" t="s">
        <v>27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/>
      <c r="X19" s="6"/>
    </row>
    <row r="20" spans="2:24" x14ac:dyDescent="0.35">
      <c r="B20" s="1" t="s">
        <v>28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5"/>
      <c r="X20" s="6"/>
    </row>
    <row r="21" spans="2:24" x14ac:dyDescent="0.35">
      <c r="B21" s="1" t="s">
        <v>29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5"/>
      <c r="X21" s="6"/>
    </row>
    <row r="22" spans="2:24" x14ac:dyDescent="0.35">
      <c r="B22" s="1" t="s">
        <v>30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"/>
      <c r="X22" s="6"/>
    </row>
    <row r="23" spans="2:24" x14ac:dyDescent="0.35">
      <c r="B23" s="1" t="s">
        <v>31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X23" s="6"/>
    </row>
    <row r="24" spans="2:24" x14ac:dyDescent="0.35">
      <c r="B24" s="1" t="s">
        <v>32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5"/>
      <c r="X24" s="6"/>
    </row>
    <row r="25" spans="2:24" x14ac:dyDescent="0.35">
      <c r="B25" s="1" t="s">
        <v>33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  <c r="X25" s="6"/>
    </row>
    <row r="26" spans="2:24" x14ac:dyDescent="0.35">
      <c r="B26" s="1" t="s">
        <v>34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5"/>
      <c r="X26" s="6"/>
    </row>
    <row r="27" spans="2:24" x14ac:dyDescent="0.35">
      <c r="B27" s="1" t="s">
        <v>35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"/>
      <c r="X27" s="6"/>
    </row>
    <row r="28" spans="2:24" x14ac:dyDescent="0.35">
      <c r="B28" s="1" t="s">
        <v>36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6"/>
    </row>
    <row r="29" spans="2:24" x14ac:dyDescent="0.35">
      <c r="B29" s="1" t="s">
        <v>37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6"/>
    </row>
    <row r="30" spans="2:24" x14ac:dyDescent="0.35">
      <c r="B30" s="1" t="s">
        <v>38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5"/>
      <c r="X30" s="6"/>
    </row>
    <row r="31" spans="2:24" x14ac:dyDescent="0.35">
      <c r="B31" s="1" t="s">
        <v>39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5"/>
      <c r="X31" s="6"/>
    </row>
    <row r="32" spans="2:24" x14ac:dyDescent="0.35">
      <c r="B32" s="1" t="s">
        <v>40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5"/>
      <c r="X32" s="6"/>
    </row>
    <row r="33" spans="1:24" x14ac:dyDescent="0.35">
      <c r="B33" s="1" t="s">
        <v>41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6"/>
    </row>
    <row r="34" spans="1:24" x14ac:dyDescent="0.35">
      <c r="B34" s="1" t="s">
        <v>42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5"/>
      <c r="X34" s="6"/>
    </row>
    <row r="35" spans="1:24" x14ac:dyDescent="0.35">
      <c r="B35" s="1" t="s">
        <v>43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"/>
      <c r="X35" s="6"/>
    </row>
    <row r="36" spans="1:24" x14ac:dyDescent="0.35">
      <c r="B36" s="1" t="s">
        <v>44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/>
      <c r="X36" s="6"/>
    </row>
    <row r="37" spans="1:24" x14ac:dyDescent="0.35">
      <c r="B37" s="1" t="s">
        <v>45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5"/>
      <c r="X37" s="6"/>
    </row>
    <row r="38" spans="1:24" x14ac:dyDescent="0.35">
      <c r="B38" s="1" t="s">
        <v>46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6"/>
    </row>
    <row r="39" spans="1:24" x14ac:dyDescent="0.35">
      <c r="B39" s="1" t="s">
        <v>47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6"/>
    </row>
    <row r="40" spans="1:24" x14ac:dyDescent="0.35">
      <c r="B40" s="1" t="s">
        <v>48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6"/>
    </row>
    <row r="41" spans="1:24" x14ac:dyDescent="0.35">
      <c r="A41"/>
      <c r="B41" s="1" t="s">
        <v>452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6"/>
    </row>
    <row r="42" spans="1:24" x14ac:dyDescent="0.35">
      <c r="A42"/>
      <c r="B42" s="1" t="s">
        <v>49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6"/>
    </row>
    <row r="43" spans="1:24" x14ac:dyDescent="0.35">
      <c r="A43"/>
      <c r="B43" s="1" t="s">
        <v>50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6"/>
    </row>
    <row r="44" spans="1:24" x14ac:dyDescent="0.35">
      <c r="A44"/>
      <c r="B44" s="1" t="s">
        <v>51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6"/>
    </row>
    <row r="45" spans="1:24" x14ac:dyDescent="0.35">
      <c r="A45"/>
      <c r="B45" s="1" t="s">
        <v>52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6"/>
    </row>
    <row r="46" spans="1:24" x14ac:dyDescent="0.35">
      <c r="A46"/>
      <c r="B46" s="1" t="s">
        <v>53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6"/>
    </row>
    <row r="47" spans="1:24" x14ac:dyDescent="0.35">
      <c r="A47"/>
      <c r="B47" s="1" t="s">
        <v>54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6"/>
    </row>
    <row r="48" spans="1:24" x14ac:dyDescent="0.35">
      <c r="A48"/>
      <c r="B48" s="1" t="s">
        <v>453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6"/>
    </row>
    <row r="49" spans="1:24" x14ac:dyDescent="0.35">
      <c r="A49"/>
      <c r="B49" s="1" t="s">
        <v>55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6"/>
    </row>
    <row r="50" spans="1:24" x14ac:dyDescent="0.35">
      <c r="A50"/>
      <c r="B50" s="1" t="s">
        <v>56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6"/>
    </row>
    <row r="51" spans="1:24" x14ac:dyDescent="0.35">
      <c r="A51"/>
      <c r="B51" s="1" t="s">
        <v>57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6"/>
    </row>
    <row r="52" spans="1:24" x14ac:dyDescent="0.35">
      <c r="A52"/>
      <c r="B52" s="1" t="s">
        <v>58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6"/>
    </row>
    <row r="53" spans="1:24" x14ac:dyDescent="0.35">
      <c r="A53"/>
      <c r="B53" s="1" t="s">
        <v>59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6"/>
    </row>
    <row r="54" spans="1:24" x14ac:dyDescent="0.35">
      <c r="A54"/>
      <c r="B54" s="1" t="s">
        <v>60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5"/>
      <c r="X54" s="6"/>
    </row>
    <row r="55" spans="1:24" x14ac:dyDescent="0.35">
      <c r="A55"/>
      <c r="B55" s="1" t="s">
        <v>61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6"/>
    </row>
    <row r="56" spans="1:24" x14ac:dyDescent="0.35">
      <c r="A56"/>
      <c r="B56" s="1" t="s">
        <v>62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6"/>
    </row>
    <row r="57" spans="1:24" x14ac:dyDescent="0.35">
      <c r="A57"/>
      <c r="B57" s="1" t="s">
        <v>63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6"/>
    </row>
    <row r="58" spans="1:24" x14ac:dyDescent="0.35">
      <c r="A58"/>
      <c r="B58" s="1" t="s">
        <v>64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5"/>
      <c r="X58" s="6"/>
    </row>
    <row r="59" spans="1:24" x14ac:dyDescent="0.35">
      <c r="A59"/>
      <c r="B59" s="1" t="s">
        <v>65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  <c r="X59" s="6"/>
    </row>
    <row r="60" spans="1:24" x14ac:dyDescent="0.35">
      <c r="A60"/>
      <c r="B60" s="1" t="s">
        <v>66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6"/>
    </row>
    <row r="61" spans="1:24" x14ac:dyDescent="0.35">
      <c r="A61"/>
      <c r="B61" s="1" t="s">
        <v>67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5"/>
      <c r="X61" s="6"/>
    </row>
    <row r="62" spans="1:24" x14ac:dyDescent="0.35">
      <c r="A62"/>
      <c r="B62" s="1" t="s">
        <v>68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6"/>
    </row>
    <row r="63" spans="1:24" x14ac:dyDescent="0.35">
      <c r="A63"/>
      <c r="B63" s="1" t="s">
        <v>69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5"/>
      <c r="X63" s="6"/>
    </row>
    <row r="64" spans="1:24" x14ac:dyDescent="0.35">
      <c r="A64"/>
      <c r="B64" s="1" t="s">
        <v>70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6"/>
    </row>
    <row r="65" spans="1:24" x14ac:dyDescent="0.35">
      <c r="A65"/>
      <c r="B65" s="1" t="s">
        <v>71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6"/>
    </row>
    <row r="66" spans="1:24" x14ac:dyDescent="0.35">
      <c r="A66"/>
      <c r="B66" s="1" t="s">
        <v>72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6"/>
    </row>
    <row r="67" spans="1:24" x14ac:dyDescent="0.35">
      <c r="A67"/>
      <c r="B67" s="1" t="s">
        <v>73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6"/>
    </row>
    <row r="68" spans="1:24" x14ac:dyDescent="0.35">
      <c r="A68"/>
      <c r="B68" s="1" t="s">
        <v>74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6"/>
    </row>
    <row r="69" spans="1:24" x14ac:dyDescent="0.35">
      <c r="A69"/>
      <c r="B69" s="1" t="s">
        <v>75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6"/>
    </row>
    <row r="70" spans="1:24" x14ac:dyDescent="0.35">
      <c r="A70"/>
      <c r="B70" s="1" t="s">
        <v>76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5"/>
      <c r="X70" s="6"/>
    </row>
    <row r="71" spans="1:24" x14ac:dyDescent="0.35">
      <c r="A71"/>
      <c r="B71" s="1" t="s">
        <v>77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5"/>
      <c r="X71" s="6"/>
    </row>
    <row r="72" spans="1:24" x14ac:dyDescent="0.35">
      <c r="A72"/>
      <c r="B72" s="1" t="s">
        <v>78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5"/>
      <c r="X72" s="6"/>
    </row>
    <row r="73" spans="1:24" x14ac:dyDescent="0.35">
      <c r="A73"/>
      <c r="B73" s="1" t="s">
        <v>79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/>
      <c r="X73" s="6"/>
    </row>
    <row r="74" spans="1:24" x14ac:dyDescent="0.35">
      <c r="A74"/>
      <c r="B74" s="1" t="s">
        <v>80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  <c r="X74" s="6"/>
    </row>
    <row r="75" spans="1:24" x14ac:dyDescent="0.35">
      <c r="A75"/>
      <c r="B75" s="1" t="s">
        <v>81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5"/>
      <c r="X75" s="6"/>
    </row>
    <row r="76" spans="1:24" x14ac:dyDescent="0.35">
      <c r="A76"/>
      <c r="B76" s="1" t="s">
        <v>82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5"/>
      <c r="X76" s="6"/>
    </row>
    <row r="77" spans="1:24" x14ac:dyDescent="0.35">
      <c r="A77"/>
      <c r="B77" s="1" t="s">
        <v>83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  <c r="X77" s="6"/>
    </row>
    <row r="78" spans="1:24" x14ac:dyDescent="0.35">
      <c r="A78"/>
      <c r="B78" s="1" t="s">
        <v>84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  <c r="X78" s="6"/>
    </row>
    <row r="79" spans="1:24" x14ac:dyDescent="0.35">
      <c r="A79"/>
      <c r="B79" s="1" t="s">
        <v>85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5"/>
      <c r="X79" s="6"/>
    </row>
    <row r="80" spans="1:24" x14ac:dyDescent="0.35">
      <c r="A80"/>
      <c r="B80" s="1" t="s">
        <v>86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5"/>
      <c r="X80" s="6"/>
    </row>
    <row r="81" spans="1:25" x14ac:dyDescent="0.35">
      <c r="A81"/>
      <c r="B81" s="1" t="s">
        <v>87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6"/>
    </row>
    <row r="82" spans="1:25" x14ac:dyDescent="0.35">
      <c r="A82"/>
      <c r="B82" s="1" t="s">
        <v>88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6"/>
    </row>
    <row r="83" spans="1:25" x14ac:dyDescent="0.35">
      <c r="A83"/>
      <c r="B83" s="1" t="s">
        <v>89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6"/>
    </row>
    <row r="84" spans="1:25" x14ac:dyDescent="0.35">
      <c r="A84"/>
      <c r="B84" s="1" t="s">
        <v>90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/>
      <c r="X84" s="6"/>
      <c r="Y84" s="1"/>
    </row>
    <row r="85" spans="1:25" x14ac:dyDescent="0.35">
      <c r="A85"/>
      <c r="B85" s="1" t="s">
        <v>91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6"/>
      <c r="Y85" s="1"/>
    </row>
    <row r="86" spans="1:25" x14ac:dyDescent="0.35">
      <c r="A86"/>
      <c r="B86" s="1" t="s">
        <v>92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5"/>
      <c r="X86" s="6"/>
      <c r="Y86" s="1"/>
    </row>
    <row r="87" spans="1:25" x14ac:dyDescent="0.35">
      <c r="A87"/>
      <c r="B87" s="1" t="s">
        <v>93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  <c r="X87" s="6"/>
      <c r="Y87" s="1"/>
    </row>
    <row r="88" spans="1:25" x14ac:dyDescent="0.35">
      <c r="A88"/>
      <c r="B88" s="1" t="s">
        <v>94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6"/>
      <c r="Y88" s="1"/>
    </row>
    <row r="89" spans="1:25" x14ac:dyDescent="0.35">
      <c r="A89"/>
      <c r="B89" s="1" t="s">
        <v>95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5"/>
      <c r="X89" s="6"/>
      <c r="Y89" s="1"/>
    </row>
    <row r="90" spans="1:25" x14ac:dyDescent="0.35">
      <c r="A90"/>
      <c r="B90" s="1" t="s">
        <v>96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5"/>
      <c r="X90" s="6"/>
      <c r="Y90" s="1"/>
    </row>
    <row r="91" spans="1:25" x14ac:dyDescent="0.35">
      <c r="A91"/>
      <c r="B91" s="1" t="s">
        <v>97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6"/>
      <c r="Y91" s="1"/>
    </row>
    <row r="92" spans="1:25" x14ac:dyDescent="0.35">
      <c r="A92"/>
      <c r="B92" s="1" t="s">
        <v>98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5"/>
      <c r="X92" s="6"/>
      <c r="Y92" s="1"/>
    </row>
    <row r="93" spans="1:25" x14ac:dyDescent="0.35">
      <c r="A93"/>
      <c r="B93" s="1" t="s">
        <v>99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6"/>
      <c r="Y93" s="1"/>
    </row>
    <row r="94" spans="1:25" x14ac:dyDescent="0.35">
      <c r="A94"/>
      <c r="B94" s="1" t="s">
        <v>100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/>
      <c r="X94" s="6"/>
    </row>
    <row r="95" spans="1:25" x14ac:dyDescent="0.35">
      <c r="A95"/>
      <c r="B95" s="1" t="s">
        <v>101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6"/>
    </row>
    <row r="96" spans="1:25" x14ac:dyDescent="0.35">
      <c r="A96"/>
      <c r="B96" s="1" t="s">
        <v>102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6"/>
    </row>
    <row r="97" spans="1:24" x14ac:dyDescent="0.35">
      <c r="A97"/>
      <c r="B97" s="1" t="s">
        <v>103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6"/>
    </row>
    <row r="98" spans="1:24" x14ac:dyDescent="0.35">
      <c r="A98"/>
      <c r="B98" s="1" t="s">
        <v>104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5"/>
      <c r="X98" s="6"/>
    </row>
    <row r="99" spans="1:24" x14ac:dyDescent="0.35">
      <c r="A99"/>
      <c r="B99" s="1" t="s">
        <v>105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5"/>
      <c r="X99" s="6"/>
    </row>
    <row r="100" spans="1:24" x14ac:dyDescent="0.35">
      <c r="A100"/>
      <c r="B100" s="1" t="s">
        <v>106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5"/>
      <c r="X100" s="6"/>
    </row>
    <row r="101" spans="1:24" x14ac:dyDescent="0.35">
      <c r="A101"/>
      <c r="B101" s="1" t="s">
        <v>107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5"/>
      <c r="X101" s="6"/>
    </row>
    <row r="102" spans="1:24" x14ac:dyDescent="0.35">
      <c r="A102"/>
      <c r="B102" s="1" t="s">
        <v>108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5"/>
      <c r="X102" s="6"/>
    </row>
    <row r="103" spans="1:24" x14ac:dyDescent="0.35">
      <c r="A103"/>
      <c r="B103" s="1" t="s">
        <v>109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6"/>
    </row>
    <row r="104" spans="1:24" x14ac:dyDescent="0.35">
      <c r="A104"/>
      <c r="B104" s="1" t="s">
        <v>110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6"/>
    </row>
    <row r="105" spans="1:24" x14ac:dyDescent="0.35">
      <c r="A105"/>
      <c r="B105" s="1" t="s">
        <v>111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/>
      <c r="X105" s="6"/>
    </row>
    <row r="106" spans="1:24" x14ac:dyDescent="0.35">
      <c r="A106"/>
      <c r="B106" s="1" t="s">
        <v>112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5"/>
      <c r="X106" s="6"/>
    </row>
    <row r="107" spans="1:24" x14ac:dyDescent="0.35">
      <c r="A107"/>
      <c r="B107" s="1" t="s">
        <v>113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6"/>
    </row>
    <row r="108" spans="1:24" x14ac:dyDescent="0.35">
      <c r="A108"/>
      <c r="B108" s="1" t="s">
        <v>114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6"/>
    </row>
    <row r="109" spans="1:24" x14ac:dyDescent="0.35">
      <c r="A109"/>
      <c r="B109" s="1" t="s">
        <v>115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/>
      <c r="X109" s="6"/>
    </row>
    <row r="110" spans="1:24" x14ac:dyDescent="0.35">
      <c r="A110"/>
      <c r="B110" s="1" t="s">
        <v>116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6"/>
    </row>
    <row r="111" spans="1:24" x14ac:dyDescent="0.35">
      <c r="A111"/>
      <c r="B111" s="1" t="s">
        <v>117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6"/>
    </row>
    <row r="112" spans="1:24" x14ac:dyDescent="0.35">
      <c r="A112"/>
      <c r="B112" s="1" t="s">
        <v>118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6"/>
    </row>
    <row r="113" spans="1:24" x14ac:dyDescent="0.35">
      <c r="A113"/>
      <c r="B113" s="1" t="s">
        <v>119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6"/>
    </row>
    <row r="114" spans="1:24" x14ac:dyDescent="0.35">
      <c r="A114"/>
      <c r="B114" s="1" t="s">
        <v>120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/>
      <c r="X114" s="6"/>
    </row>
    <row r="115" spans="1:24" x14ac:dyDescent="0.35">
      <c r="A115"/>
      <c r="B115" s="1" t="s">
        <v>121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5"/>
      <c r="X115" s="6"/>
    </row>
    <row r="116" spans="1:24" x14ac:dyDescent="0.35">
      <c r="A116"/>
      <c r="B116" s="1" t="s">
        <v>122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6"/>
    </row>
    <row r="117" spans="1:24" x14ac:dyDescent="0.35">
      <c r="A117"/>
      <c r="B117" s="1" t="s">
        <v>123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6"/>
    </row>
    <row r="118" spans="1:24" x14ac:dyDescent="0.35">
      <c r="A118"/>
      <c r="B118" s="1" t="s">
        <v>124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6"/>
    </row>
    <row r="119" spans="1:24" x14ac:dyDescent="0.35">
      <c r="A119"/>
      <c r="B119" s="1" t="s">
        <v>125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6"/>
    </row>
    <row r="120" spans="1:24" x14ac:dyDescent="0.35">
      <c r="A120"/>
      <c r="B120" s="1" t="s">
        <v>126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6"/>
    </row>
    <row r="121" spans="1:24" x14ac:dyDescent="0.35">
      <c r="A121"/>
      <c r="B121" s="1" t="s">
        <v>127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6"/>
    </row>
    <row r="122" spans="1:24" x14ac:dyDescent="0.35">
      <c r="A122"/>
      <c r="B122" s="1" t="s">
        <v>128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6"/>
    </row>
    <row r="123" spans="1:24" x14ac:dyDescent="0.35">
      <c r="A123"/>
      <c r="B123" s="1" t="s">
        <v>129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6"/>
    </row>
    <row r="124" spans="1:24" x14ac:dyDescent="0.35">
      <c r="A124"/>
      <c r="B124" s="1" t="s">
        <v>130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6"/>
    </row>
    <row r="125" spans="1:24" x14ac:dyDescent="0.35">
      <c r="A125"/>
      <c r="B125" s="1" t="s">
        <v>131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6"/>
    </row>
    <row r="126" spans="1:24" x14ac:dyDescent="0.35">
      <c r="A126"/>
      <c r="B126" s="1" t="s">
        <v>132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6"/>
    </row>
    <row r="127" spans="1:24" x14ac:dyDescent="0.35">
      <c r="A127"/>
      <c r="B127" s="1" t="s">
        <v>133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6"/>
    </row>
    <row r="128" spans="1:24" x14ac:dyDescent="0.35">
      <c r="A128"/>
      <c r="B128" s="1" t="s">
        <v>134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6"/>
    </row>
    <row r="129" spans="1:24" x14ac:dyDescent="0.35">
      <c r="A129"/>
      <c r="B129" s="1" t="s">
        <v>135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6"/>
    </row>
    <row r="130" spans="1:24" x14ac:dyDescent="0.35">
      <c r="A130"/>
      <c r="B130" s="1" t="s">
        <v>136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6"/>
    </row>
    <row r="131" spans="1:24" x14ac:dyDescent="0.35">
      <c r="A131"/>
      <c r="B131" s="1" t="s">
        <v>137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6"/>
    </row>
    <row r="132" spans="1:24" x14ac:dyDescent="0.35">
      <c r="A132"/>
      <c r="B132" s="1" t="s">
        <v>138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6"/>
    </row>
    <row r="133" spans="1:24" x14ac:dyDescent="0.35">
      <c r="A133"/>
      <c r="B133" s="1" t="s">
        <v>139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6"/>
    </row>
    <row r="134" spans="1:24" x14ac:dyDescent="0.35">
      <c r="A134"/>
      <c r="B134" s="1" t="s">
        <v>140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6"/>
    </row>
    <row r="135" spans="1:24" x14ac:dyDescent="0.35">
      <c r="A135"/>
      <c r="B135" s="1" t="s">
        <v>141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6"/>
    </row>
    <row r="136" spans="1:24" x14ac:dyDescent="0.35">
      <c r="A136"/>
      <c r="B136" s="1" t="s">
        <v>142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6"/>
    </row>
    <row r="137" spans="1:24" x14ac:dyDescent="0.35">
      <c r="A137"/>
      <c r="B137" s="1" t="s">
        <v>143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"/>
      <c r="X137" s="6"/>
    </row>
    <row r="138" spans="1:24" x14ac:dyDescent="0.35">
      <c r="A138"/>
      <c r="B138" s="1" t="s">
        <v>144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6"/>
    </row>
    <row r="139" spans="1:24" x14ac:dyDescent="0.35">
      <c r="A139"/>
      <c r="B139" s="1" t="s">
        <v>145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/>
      <c r="X139" s="6"/>
    </row>
    <row r="140" spans="1:24" x14ac:dyDescent="0.35">
      <c r="A140"/>
      <c r="B140" s="1" t="s">
        <v>146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6"/>
    </row>
    <row r="141" spans="1:24" x14ac:dyDescent="0.35">
      <c r="A141"/>
      <c r="B141" s="1" t="s">
        <v>147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6"/>
    </row>
    <row r="142" spans="1:24" x14ac:dyDescent="0.35">
      <c r="A142"/>
      <c r="B142" s="1" t="s">
        <v>148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6"/>
    </row>
    <row r="143" spans="1:24" x14ac:dyDescent="0.35">
      <c r="A143"/>
      <c r="B143" s="1" t="s">
        <v>149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6"/>
    </row>
    <row r="144" spans="1:24" x14ac:dyDescent="0.35">
      <c r="A144"/>
      <c r="B144" s="1" t="s">
        <v>150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6"/>
    </row>
    <row r="145" spans="1:24" x14ac:dyDescent="0.35">
      <c r="A145"/>
      <c r="B145" s="1" t="s">
        <v>151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6"/>
    </row>
    <row r="146" spans="1:24" x14ac:dyDescent="0.35">
      <c r="A146"/>
      <c r="B146" s="1" t="s">
        <v>152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6"/>
    </row>
    <row r="147" spans="1:24" x14ac:dyDescent="0.35">
      <c r="A147"/>
      <c r="B147" s="1" t="s">
        <v>153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6"/>
    </row>
    <row r="148" spans="1:24" x14ac:dyDescent="0.35">
      <c r="A148"/>
      <c r="B148" s="1" t="s">
        <v>154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6"/>
    </row>
    <row r="149" spans="1:24" x14ac:dyDescent="0.35">
      <c r="A149"/>
      <c r="B149" s="1" t="s">
        <v>155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6"/>
    </row>
    <row r="150" spans="1:24" x14ac:dyDescent="0.35">
      <c r="A150"/>
      <c r="B150" s="1" t="s">
        <v>156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6"/>
    </row>
    <row r="151" spans="1:24" x14ac:dyDescent="0.35">
      <c r="A151"/>
      <c r="B151" s="1" t="s">
        <v>157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/>
      <c r="X151" s="6"/>
    </row>
    <row r="152" spans="1:24" x14ac:dyDescent="0.35">
      <c r="A152"/>
      <c r="B152" s="1" t="s">
        <v>158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6"/>
    </row>
    <row r="153" spans="1:24" x14ac:dyDescent="0.35">
      <c r="A153"/>
      <c r="B153" s="1" t="s">
        <v>159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5"/>
      <c r="X153" s="6"/>
    </row>
    <row r="154" spans="1:24" x14ac:dyDescent="0.35">
      <c r="A154"/>
      <c r="B154" s="1" t="s">
        <v>160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5"/>
      <c r="X154" s="6"/>
    </row>
    <row r="155" spans="1:24" x14ac:dyDescent="0.35">
      <c r="A155"/>
      <c r="B155" s="1" t="s">
        <v>161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5"/>
      <c r="X155" s="6"/>
    </row>
    <row r="156" spans="1:24" x14ac:dyDescent="0.35">
      <c r="A156"/>
      <c r="B156" s="1" t="s">
        <v>162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6"/>
    </row>
    <row r="157" spans="1:24" x14ac:dyDescent="0.35">
      <c r="A157"/>
      <c r="B157" s="1" t="s">
        <v>163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5"/>
      <c r="X157" s="6"/>
    </row>
    <row r="158" spans="1:24" x14ac:dyDescent="0.35">
      <c r="A158"/>
      <c r="B158" s="1" t="s">
        <v>164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5"/>
      <c r="X158" s="6"/>
    </row>
    <row r="159" spans="1:24" x14ac:dyDescent="0.35">
      <c r="A159"/>
      <c r="B159" s="1" t="s">
        <v>165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/>
      <c r="X159" s="6"/>
    </row>
    <row r="160" spans="1:24" x14ac:dyDescent="0.35">
      <c r="A160"/>
      <c r="B160" s="1" t="s">
        <v>166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/>
      <c r="X160" s="6"/>
    </row>
    <row r="161" spans="1:24" x14ac:dyDescent="0.35">
      <c r="A161"/>
      <c r="B161" s="1" t="s">
        <v>167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/>
      <c r="X161" s="6"/>
    </row>
    <row r="162" spans="1:24" x14ac:dyDescent="0.35">
      <c r="A162"/>
      <c r="B162" s="1" t="s">
        <v>168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"/>
      <c r="X162" s="6"/>
    </row>
    <row r="163" spans="1:24" x14ac:dyDescent="0.35">
      <c r="A163"/>
      <c r="B163" s="1" t="s">
        <v>169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6"/>
    </row>
    <row r="164" spans="1:24" x14ac:dyDescent="0.35">
      <c r="A164"/>
      <c r="B164" s="1" t="s">
        <v>170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6"/>
    </row>
    <row r="165" spans="1:24" x14ac:dyDescent="0.35">
      <c r="A165"/>
      <c r="B165" s="1" t="s">
        <v>171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/>
      <c r="X165" s="6"/>
    </row>
    <row r="166" spans="1:24" x14ac:dyDescent="0.35">
      <c r="A166"/>
      <c r="B166" s="1" t="s">
        <v>172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/>
      <c r="X166" s="6"/>
    </row>
    <row r="167" spans="1:24" x14ac:dyDescent="0.35">
      <c r="A167"/>
      <c r="B167" s="1" t="s">
        <v>173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6"/>
    </row>
    <row r="168" spans="1:24" x14ac:dyDescent="0.35">
      <c r="A168"/>
      <c r="B168" s="1" t="s">
        <v>174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/>
      <c r="X168" s="6"/>
    </row>
    <row r="169" spans="1:24" x14ac:dyDescent="0.35">
      <c r="A169"/>
      <c r="B169" s="1" t="s">
        <v>175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6"/>
    </row>
    <row r="170" spans="1:24" x14ac:dyDescent="0.35">
      <c r="A170"/>
      <c r="B170" s="1" t="s">
        <v>176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/>
      <c r="X170" s="6"/>
    </row>
    <row r="171" spans="1:24" x14ac:dyDescent="0.35">
      <c r="A171"/>
      <c r="B171" s="1" t="s">
        <v>177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6"/>
    </row>
    <row r="172" spans="1:24" x14ac:dyDescent="0.35">
      <c r="A172"/>
      <c r="B172" s="1" t="s">
        <v>178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6"/>
    </row>
    <row r="173" spans="1:24" x14ac:dyDescent="0.35">
      <c r="A173"/>
      <c r="B173" s="1" t="s">
        <v>179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/>
      <c r="X173" s="6"/>
    </row>
    <row r="174" spans="1:24" x14ac:dyDescent="0.35">
      <c r="A174"/>
      <c r="B174" s="1" t="s">
        <v>180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5"/>
      <c r="X174" s="6"/>
    </row>
    <row r="175" spans="1:24" x14ac:dyDescent="0.35">
      <c r="A175"/>
      <c r="B175" s="1" t="s">
        <v>181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5"/>
      <c r="X175" s="6"/>
    </row>
    <row r="176" spans="1:24" x14ac:dyDescent="0.35">
      <c r="A176"/>
      <c r="B176" s="1" t="s">
        <v>182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6"/>
    </row>
    <row r="177" spans="1:24" x14ac:dyDescent="0.35">
      <c r="A177"/>
      <c r="B177" s="1" t="s">
        <v>183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5"/>
      <c r="X177" s="6"/>
    </row>
    <row r="178" spans="1:24" x14ac:dyDescent="0.35">
      <c r="A178"/>
      <c r="B178" s="1" t="s">
        <v>184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/>
      <c r="X178" s="6"/>
    </row>
    <row r="179" spans="1:24" x14ac:dyDescent="0.35">
      <c r="A179"/>
      <c r="B179" s="1" t="s">
        <v>185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5"/>
      <c r="X179" s="6"/>
    </row>
    <row r="180" spans="1:24" x14ac:dyDescent="0.35">
      <c r="A180"/>
      <c r="B180" s="1" t="s">
        <v>186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5"/>
      <c r="X180" s="6"/>
    </row>
    <row r="181" spans="1:24" x14ac:dyDescent="0.35">
      <c r="A181"/>
      <c r="B181" s="1" t="s">
        <v>187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5"/>
      <c r="X181" s="6"/>
    </row>
    <row r="182" spans="1:24" x14ac:dyDescent="0.35">
      <c r="A182"/>
      <c r="B182" s="1" t="s">
        <v>188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5"/>
      <c r="X182" s="6"/>
    </row>
    <row r="183" spans="1:24" x14ac:dyDescent="0.35">
      <c r="A183"/>
      <c r="B183" s="1" t="s">
        <v>189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5"/>
      <c r="X183" s="6"/>
    </row>
    <row r="184" spans="1:24" x14ac:dyDescent="0.35">
      <c r="A184"/>
      <c r="B184" s="1" t="s">
        <v>190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5"/>
      <c r="X184" s="6"/>
    </row>
    <row r="185" spans="1:24" x14ac:dyDescent="0.35">
      <c r="A185"/>
      <c r="B185" s="1" t="s">
        <v>191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6"/>
    </row>
    <row r="186" spans="1:24" x14ac:dyDescent="0.35">
      <c r="A186"/>
      <c r="B186" s="1" t="s">
        <v>192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5"/>
      <c r="X186" s="6"/>
    </row>
    <row r="187" spans="1:24" x14ac:dyDescent="0.35">
      <c r="A187"/>
      <c r="B187" s="1" t="s">
        <v>193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6"/>
    </row>
    <row r="188" spans="1:24" x14ac:dyDescent="0.35">
      <c r="A188"/>
      <c r="B188" s="1" t="s">
        <v>194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6"/>
    </row>
    <row r="189" spans="1:24" x14ac:dyDescent="0.35">
      <c r="A189"/>
      <c r="B189" s="1" t="s">
        <v>195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/>
      <c r="X189" s="6"/>
    </row>
    <row r="190" spans="1:24" x14ac:dyDescent="0.35">
      <c r="A190"/>
      <c r="B190" s="1" t="s">
        <v>196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5"/>
      <c r="X190" s="6"/>
    </row>
    <row r="191" spans="1:24" x14ac:dyDescent="0.35">
      <c r="A191"/>
      <c r="B191" s="1" t="s">
        <v>197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5"/>
      <c r="X191" s="6"/>
    </row>
    <row r="192" spans="1:24" x14ac:dyDescent="0.35">
      <c r="A192"/>
      <c r="B192" s="1" t="s">
        <v>198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5"/>
      <c r="X192" s="6"/>
    </row>
    <row r="193" spans="1:24" x14ac:dyDescent="0.35">
      <c r="A193"/>
      <c r="B193" s="1" t="s">
        <v>199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/>
      <c r="X193" s="6"/>
    </row>
    <row r="194" spans="1:24" x14ac:dyDescent="0.35">
      <c r="A194"/>
      <c r="B194" s="1" t="s">
        <v>200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6"/>
    </row>
    <row r="195" spans="1:24" x14ac:dyDescent="0.35">
      <c r="A195"/>
      <c r="B195" s="1" t="s">
        <v>201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6"/>
    </row>
    <row r="196" spans="1:24" x14ac:dyDescent="0.35">
      <c r="A196"/>
      <c r="B196" s="1" t="s">
        <v>202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/>
      <c r="X196" s="6"/>
    </row>
    <row r="197" spans="1:24" x14ac:dyDescent="0.35">
      <c r="A197"/>
      <c r="B197" s="1" t="s">
        <v>203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/>
      <c r="X197" s="6"/>
    </row>
    <row r="198" spans="1:24" x14ac:dyDescent="0.35">
      <c r="A198"/>
      <c r="B198" s="1" t="s">
        <v>204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6"/>
    </row>
    <row r="199" spans="1:24" x14ac:dyDescent="0.35">
      <c r="A199"/>
      <c r="B199" s="1" t="s">
        <v>205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6"/>
    </row>
    <row r="200" spans="1:24" x14ac:dyDescent="0.35">
      <c r="A200"/>
      <c r="B200" s="1" t="s">
        <v>206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6"/>
    </row>
    <row r="201" spans="1:24" x14ac:dyDescent="0.35">
      <c r="A201"/>
      <c r="B201" s="1" t="s">
        <v>207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5"/>
      <c r="X201" s="6"/>
    </row>
    <row r="202" spans="1:24" x14ac:dyDescent="0.35">
      <c r="A202"/>
      <c r="B202" s="1" t="s">
        <v>208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5"/>
      <c r="X202" s="6"/>
    </row>
    <row r="203" spans="1:24" x14ac:dyDescent="0.35">
      <c r="A203"/>
      <c r="B203" s="1" t="s">
        <v>209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5"/>
      <c r="X203" s="6"/>
    </row>
    <row r="204" spans="1:24" x14ac:dyDescent="0.35">
      <c r="A204"/>
      <c r="B204" s="1" t="s">
        <v>210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5"/>
      <c r="X204" s="6"/>
    </row>
    <row r="205" spans="1:24" x14ac:dyDescent="0.35">
      <c r="A205"/>
      <c r="B205" s="1" t="s">
        <v>211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5"/>
      <c r="X205" s="6"/>
    </row>
    <row r="206" spans="1:24" x14ac:dyDescent="0.35">
      <c r="A206"/>
      <c r="B206" s="1" t="s">
        <v>212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5"/>
      <c r="X206" s="6"/>
    </row>
    <row r="207" spans="1:24" x14ac:dyDescent="0.35">
      <c r="A207"/>
      <c r="B207" s="1" t="s">
        <v>213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5"/>
      <c r="X207" s="6"/>
    </row>
    <row r="208" spans="1:24" x14ac:dyDescent="0.35">
      <c r="A208"/>
      <c r="B208" s="1" t="s">
        <v>214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5"/>
      <c r="X208" s="6"/>
    </row>
    <row r="209" spans="1:24" x14ac:dyDescent="0.35">
      <c r="A209"/>
      <c r="B209" s="1" t="s">
        <v>215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5"/>
      <c r="X209" s="6"/>
    </row>
    <row r="210" spans="1:24" x14ac:dyDescent="0.35">
      <c r="A210"/>
      <c r="B210" s="1" t="s">
        <v>216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5"/>
      <c r="X210" s="6"/>
    </row>
    <row r="211" spans="1:24" x14ac:dyDescent="0.35">
      <c r="A211"/>
      <c r="B211" s="1" t="s">
        <v>217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5"/>
      <c r="X211" s="6"/>
    </row>
    <row r="212" spans="1:24" x14ac:dyDescent="0.35">
      <c r="A212"/>
      <c r="B212" s="1" t="s">
        <v>218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5"/>
      <c r="X212" s="6"/>
    </row>
    <row r="213" spans="1:24" x14ac:dyDescent="0.35">
      <c r="A213"/>
      <c r="B213" s="1" t="s">
        <v>219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5"/>
      <c r="X213" s="6"/>
    </row>
    <row r="214" spans="1:24" x14ac:dyDescent="0.35">
      <c r="A214"/>
      <c r="B214" s="1" t="s">
        <v>220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5"/>
      <c r="X214" s="6"/>
    </row>
    <row r="215" spans="1:24" x14ac:dyDescent="0.35">
      <c r="A215"/>
      <c r="B215" s="1" t="s">
        <v>221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5"/>
      <c r="X215" s="6"/>
    </row>
    <row r="216" spans="1:24" x14ac:dyDescent="0.35">
      <c r="A216"/>
      <c r="B216" s="1" t="s">
        <v>222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5"/>
      <c r="X216" s="6"/>
    </row>
    <row r="217" spans="1:24" x14ac:dyDescent="0.35">
      <c r="A217"/>
      <c r="B217" s="1" t="s">
        <v>223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5"/>
      <c r="X217" s="6"/>
    </row>
    <row r="218" spans="1:24" x14ac:dyDescent="0.35">
      <c r="A218"/>
      <c r="B218" s="1" t="s">
        <v>224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5"/>
      <c r="X218" s="6"/>
    </row>
    <row r="219" spans="1:24" x14ac:dyDescent="0.35">
      <c r="A219"/>
      <c r="B219" s="1" t="s">
        <v>225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5"/>
      <c r="X219" s="6"/>
    </row>
    <row r="220" spans="1:24" x14ac:dyDescent="0.35">
      <c r="A220"/>
      <c r="B220" s="1" t="s">
        <v>226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5"/>
      <c r="X220" s="6"/>
    </row>
    <row r="221" spans="1:24" x14ac:dyDescent="0.35">
      <c r="A221"/>
      <c r="B221" s="1" t="s">
        <v>227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5"/>
      <c r="X221" s="6"/>
    </row>
    <row r="222" spans="1:24" x14ac:dyDescent="0.35">
      <c r="A222"/>
      <c r="B222" s="1" t="s">
        <v>228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5"/>
      <c r="X222" s="6"/>
    </row>
    <row r="223" spans="1:24" x14ac:dyDescent="0.35">
      <c r="A223"/>
      <c r="B223" s="1" t="s">
        <v>229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5"/>
      <c r="X223" s="6"/>
    </row>
    <row r="224" spans="1:24" x14ac:dyDescent="0.35">
      <c r="A224"/>
      <c r="B224" s="1" t="s">
        <v>230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5"/>
      <c r="X224" s="6"/>
    </row>
    <row r="225" spans="1:24" x14ac:dyDescent="0.35">
      <c r="A225"/>
      <c r="B225" s="1" t="s">
        <v>231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5"/>
      <c r="X225" s="6"/>
    </row>
    <row r="226" spans="1:24" x14ac:dyDescent="0.35">
      <c r="A226"/>
      <c r="B226" s="1" t="s">
        <v>232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5"/>
      <c r="X226" s="6"/>
    </row>
    <row r="227" spans="1:24" x14ac:dyDescent="0.35">
      <c r="A227"/>
      <c r="B227" s="1" t="s">
        <v>233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5"/>
      <c r="X227" s="6"/>
    </row>
    <row r="228" spans="1:24" x14ac:dyDescent="0.35">
      <c r="A228"/>
      <c r="B228" s="1" t="s">
        <v>234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5"/>
      <c r="X228" s="6"/>
    </row>
    <row r="229" spans="1:24" x14ac:dyDescent="0.35">
      <c r="A229"/>
      <c r="B229" s="1" t="s">
        <v>235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5"/>
      <c r="X229" s="6"/>
    </row>
    <row r="230" spans="1:24" x14ac:dyDescent="0.35">
      <c r="A230"/>
      <c r="B230" s="1" t="s">
        <v>236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5"/>
      <c r="X230" s="6"/>
    </row>
    <row r="231" spans="1:24" x14ac:dyDescent="0.35">
      <c r="A231"/>
      <c r="B231" s="1" t="s">
        <v>237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5"/>
      <c r="X231" s="6"/>
    </row>
    <row r="232" spans="1:24" x14ac:dyDescent="0.35">
      <c r="A232"/>
      <c r="B232" s="1" t="s">
        <v>238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5"/>
      <c r="X232" s="6"/>
    </row>
    <row r="233" spans="1:24" x14ac:dyDescent="0.35">
      <c r="A233"/>
      <c r="B233" s="1" t="s">
        <v>239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5"/>
      <c r="X233" s="6"/>
    </row>
    <row r="234" spans="1:24" x14ac:dyDescent="0.35">
      <c r="A234"/>
      <c r="B234" s="1" t="s">
        <v>240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5"/>
      <c r="X234" s="6"/>
    </row>
    <row r="235" spans="1:24" x14ac:dyDescent="0.35">
      <c r="A235"/>
      <c r="B235" s="1" t="s">
        <v>241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5"/>
      <c r="X235" s="6"/>
    </row>
    <row r="236" spans="1:24" x14ac:dyDescent="0.35">
      <c r="A236"/>
      <c r="B236" s="1" t="s">
        <v>242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5"/>
      <c r="X236" s="6"/>
    </row>
    <row r="237" spans="1:24" x14ac:dyDescent="0.35">
      <c r="A237"/>
      <c r="B237" s="1" t="s">
        <v>243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5"/>
      <c r="X237" s="6"/>
    </row>
    <row r="238" spans="1:24" x14ac:dyDescent="0.35">
      <c r="A238"/>
      <c r="B238" s="1" t="s">
        <v>244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5"/>
      <c r="X238" s="6"/>
    </row>
    <row r="239" spans="1:24" x14ac:dyDescent="0.35">
      <c r="A239"/>
      <c r="B239" s="1" t="s">
        <v>245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5"/>
      <c r="X239" s="6"/>
    </row>
    <row r="240" spans="1:24" x14ac:dyDescent="0.35">
      <c r="A240"/>
      <c r="B240" s="1" t="s">
        <v>246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5"/>
      <c r="X240" s="6"/>
    </row>
    <row r="241" spans="1:24" x14ac:dyDescent="0.35">
      <c r="A241"/>
      <c r="B241" s="1" t="s">
        <v>247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5"/>
      <c r="X241" s="6"/>
    </row>
    <row r="242" spans="1:24" x14ac:dyDescent="0.35">
      <c r="A242"/>
      <c r="B242" s="1" t="s">
        <v>248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5"/>
      <c r="X242" s="6"/>
    </row>
    <row r="243" spans="1:24" x14ac:dyDescent="0.35">
      <c r="A243"/>
      <c r="B243" s="1" t="s">
        <v>249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5"/>
      <c r="X243" s="6"/>
    </row>
    <row r="244" spans="1:24" x14ac:dyDescent="0.35">
      <c r="A244"/>
      <c r="B244" s="1" t="s">
        <v>250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5"/>
      <c r="X244" s="6"/>
    </row>
    <row r="245" spans="1:24" x14ac:dyDescent="0.35">
      <c r="A245"/>
      <c r="B245" s="1" t="s">
        <v>251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5"/>
      <c r="X245" s="6"/>
    </row>
    <row r="246" spans="1:24" x14ac:dyDescent="0.35">
      <c r="A246"/>
      <c r="B246" s="1" t="s">
        <v>252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5"/>
      <c r="X246" s="6"/>
    </row>
    <row r="247" spans="1:24" x14ac:dyDescent="0.35">
      <c r="A247"/>
      <c r="B247" s="1" t="s">
        <v>253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"/>
      <c r="X247" s="6"/>
    </row>
    <row r="248" spans="1:24" x14ac:dyDescent="0.35">
      <c r="A248"/>
      <c r="B248" s="1" t="s">
        <v>254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5"/>
      <c r="X248" s="6"/>
    </row>
    <row r="249" spans="1:24" x14ac:dyDescent="0.35">
      <c r="A249"/>
      <c r="B249" s="1" t="s">
        <v>255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5"/>
      <c r="X249" s="6"/>
    </row>
    <row r="250" spans="1:24" x14ac:dyDescent="0.35">
      <c r="A250"/>
      <c r="B250" s="1" t="s">
        <v>256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5"/>
      <c r="X250" s="6"/>
    </row>
    <row r="251" spans="1:24" x14ac:dyDescent="0.35">
      <c r="A251"/>
      <c r="B251" s="1" t="s">
        <v>257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5"/>
      <c r="X251" s="6"/>
    </row>
    <row r="252" spans="1:24" x14ac:dyDescent="0.35">
      <c r="A252"/>
      <c r="B252" s="1" t="s">
        <v>258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5"/>
      <c r="X252" s="6"/>
    </row>
    <row r="253" spans="1:24" x14ac:dyDescent="0.35">
      <c r="A253"/>
      <c r="B253" s="1" t="s">
        <v>259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5"/>
      <c r="X253" s="6"/>
    </row>
    <row r="254" spans="1:24" x14ac:dyDescent="0.35">
      <c r="A254"/>
      <c r="B254" s="1" t="s">
        <v>260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5"/>
      <c r="X254" s="6"/>
    </row>
    <row r="255" spans="1:24" x14ac:dyDescent="0.35">
      <c r="A255"/>
      <c r="B255" s="1" t="s">
        <v>261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5"/>
      <c r="X255" s="6"/>
    </row>
    <row r="256" spans="1:24" x14ac:dyDescent="0.35">
      <c r="A256"/>
      <c r="B256" s="1" t="s">
        <v>262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5"/>
      <c r="X256" s="6"/>
    </row>
    <row r="257" spans="1:24" x14ac:dyDescent="0.35">
      <c r="A257"/>
      <c r="B257" s="1" t="s">
        <v>263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5"/>
      <c r="X257" s="6"/>
    </row>
    <row r="258" spans="1:24" x14ac:dyDescent="0.35">
      <c r="A258"/>
      <c r="B258" s="1" t="s">
        <v>264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5"/>
      <c r="X258" s="6"/>
    </row>
    <row r="259" spans="1:24" x14ac:dyDescent="0.35">
      <c r="A259"/>
      <c r="B259" s="1" t="s">
        <v>265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5"/>
      <c r="X259" s="6"/>
    </row>
    <row r="260" spans="1:24" x14ac:dyDescent="0.35">
      <c r="A260"/>
      <c r="B260" s="1" t="s">
        <v>266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5"/>
      <c r="X260" s="6"/>
    </row>
    <row r="261" spans="1:24" x14ac:dyDescent="0.35">
      <c r="A261"/>
      <c r="B261" s="1" t="s">
        <v>267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5"/>
      <c r="X261" s="6"/>
    </row>
    <row r="262" spans="1:24" x14ac:dyDescent="0.35">
      <c r="A262"/>
      <c r="B262" s="1" t="s">
        <v>268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5"/>
      <c r="X262" s="6"/>
    </row>
    <row r="263" spans="1:24" x14ac:dyDescent="0.35">
      <c r="A263"/>
      <c r="B263" s="1" t="s">
        <v>269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5"/>
      <c r="X263" s="6"/>
    </row>
    <row r="264" spans="1:24" x14ac:dyDescent="0.35">
      <c r="A264"/>
      <c r="B264" s="1" t="s">
        <v>270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5"/>
      <c r="X264" s="6"/>
    </row>
    <row r="265" spans="1:24" x14ac:dyDescent="0.35">
      <c r="A265"/>
      <c r="B265" s="1" t="s">
        <v>271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5"/>
      <c r="X265" s="6"/>
    </row>
    <row r="266" spans="1:24" x14ac:dyDescent="0.35">
      <c r="A266"/>
      <c r="B266" t="s">
        <v>272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5"/>
      <c r="X266" s="6"/>
    </row>
    <row r="267" spans="1:24" x14ac:dyDescent="0.35">
      <c r="A267"/>
      <c r="B267" t="s">
        <v>273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5"/>
      <c r="X267" s="6"/>
    </row>
    <row r="268" spans="1:24" x14ac:dyDescent="0.35">
      <c r="A268"/>
      <c r="B268" s="1" t="s">
        <v>274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5"/>
      <c r="X268" s="6"/>
    </row>
    <row r="269" spans="1:24" x14ac:dyDescent="0.35">
      <c r="A269"/>
      <c r="B269" s="1" t="s">
        <v>275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6"/>
    </row>
    <row r="270" spans="1:24" x14ac:dyDescent="0.35">
      <c r="A270"/>
      <c r="B270" s="1" t="s">
        <v>276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5"/>
      <c r="X270" s="6"/>
    </row>
    <row r="271" spans="1:24" x14ac:dyDescent="0.35">
      <c r="A271"/>
      <c r="B271" s="1" t="s">
        <v>277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5"/>
      <c r="X271" s="6"/>
    </row>
    <row r="272" spans="1:24" x14ac:dyDescent="0.35">
      <c r="A272"/>
      <c r="B272" s="1" t="s">
        <v>278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5"/>
      <c r="X272" s="6"/>
    </row>
    <row r="273" spans="1:24" x14ac:dyDescent="0.35">
      <c r="A273"/>
      <c r="B273" s="1" t="s">
        <v>279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5"/>
      <c r="X273" s="6"/>
    </row>
  </sheetData>
  <conditionalFormatting sqref="B3:Y273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239"/>
  <sheetViews>
    <sheetView showGridLines="0" workbookViewId="0">
      <pane xSplit="2" ySplit="17" topLeftCell="C33" activePane="bottomRight" state="frozen"/>
      <selection pane="topRight" activeCell="C1" sqref="C1"/>
      <selection pane="bottomLeft" activeCell="A6" sqref="A6"/>
      <selection pane="bottomRight" activeCell="B49" sqref="B49"/>
    </sheetView>
  </sheetViews>
  <sheetFormatPr defaultColWidth="15.08984375" defaultRowHeight="12" x14ac:dyDescent="0.3"/>
  <cols>
    <col min="1" max="1" width="3.81640625" style="13" customWidth="1"/>
    <col min="2" max="2" width="58.81640625" style="13" customWidth="1"/>
    <col min="3" max="3" width="13.6328125" style="13" customWidth="1"/>
    <col min="4" max="4" width="15.08984375" style="13" hidden="1" customWidth="1"/>
    <col min="5" max="21" width="15.08984375" style="14" hidden="1" customWidth="1"/>
    <col min="22" max="22" width="0" style="13" hidden="1" customWidth="1"/>
    <col min="23" max="16384" width="15.08984375" style="13"/>
  </cols>
  <sheetData>
    <row r="1" spans="2:3" hidden="1" x14ac:dyDescent="0.3"/>
    <row r="2" spans="2:3" hidden="1" x14ac:dyDescent="0.3"/>
    <row r="3" spans="2:3" hidden="1" x14ac:dyDescent="0.3"/>
    <row r="4" spans="2:3" hidden="1" x14ac:dyDescent="0.3"/>
    <row r="5" spans="2:3" hidden="1" x14ac:dyDescent="0.3"/>
    <row r="6" spans="2:3" hidden="1" x14ac:dyDescent="0.3"/>
    <row r="7" spans="2:3" hidden="1" x14ac:dyDescent="0.3"/>
    <row r="8" spans="2:3" hidden="1" x14ac:dyDescent="0.3"/>
    <row r="9" spans="2:3" hidden="1" x14ac:dyDescent="0.3"/>
    <row r="10" spans="2:3" hidden="1" x14ac:dyDescent="0.3"/>
    <row r="11" spans="2:3" hidden="1" x14ac:dyDescent="0.3"/>
    <row r="12" spans="2:3" hidden="1" x14ac:dyDescent="0.3"/>
    <row r="14" spans="2:3" x14ac:dyDescent="0.3">
      <c r="B14" s="15" t="s">
        <v>280</v>
      </c>
      <c r="C14" s="15"/>
    </row>
    <row r="16" spans="2:3" x14ac:dyDescent="0.3">
      <c r="B16" s="16"/>
    </row>
    <row r="17" spans="2:3" x14ac:dyDescent="0.3">
      <c r="C17" s="17">
        <f>COA!C2</f>
        <v>0</v>
      </c>
    </row>
    <row r="18" spans="2:3" x14ac:dyDescent="0.3">
      <c r="C18" s="18"/>
    </row>
    <row r="19" spans="2:3" x14ac:dyDescent="0.3">
      <c r="B19" s="13" t="s">
        <v>281</v>
      </c>
      <c r="C19" s="19">
        <f>C20/365</f>
        <v>0</v>
      </c>
    </row>
    <row r="20" spans="2:3" x14ac:dyDescent="0.3">
      <c r="B20" s="13" t="s">
        <v>282</v>
      </c>
      <c r="C20" s="19">
        <f>COA!C3</f>
        <v>0</v>
      </c>
    </row>
    <row r="21" spans="2:3" x14ac:dyDescent="0.3">
      <c r="B21" s="13" t="s">
        <v>283</v>
      </c>
      <c r="C21" s="19">
        <f>COA!C4</f>
        <v>0</v>
      </c>
    </row>
    <row r="22" spans="2:3" hidden="1" x14ac:dyDescent="0.3">
      <c r="C22" s="19"/>
    </row>
    <row r="23" spans="2:3" hidden="1" x14ac:dyDescent="0.3">
      <c r="C23" s="19"/>
    </row>
    <row r="24" spans="2:3" hidden="1" x14ac:dyDescent="0.3">
      <c r="C24" s="19"/>
    </row>
    <row r="25" spans="2:3" hidden="1" x14ac:dyDescent="0.3">
      <c r="C25" s="19"/>
    </row>
    <row r="26" spans="2:3" hidden="1" x14ac:dyDescent="0.3">
      <c r="C26" s="19"/>
    </row>
    <row r="27" spans="2:3" hidden="1" x14ac:dyDescent="0.3">
      <c r="C27" s="19"/>
    </row>
    <row r="29" spans="2:3" x14ac:dyDescent="0.3">
      <c r="B29" s="20" t="s">
        <v>284</v>
      </c>
      <c r="C29" s="21">
        <f>COA!C5</f>
        <v>0</v>
      </c>
    </row>
    <row r="30" spans="2:3" x14ac:dyDescent="0.3">
      <c r="B30" s="20" t="s">
        <v>285</v>
      </c>
      <c r="C30" s="22">
        <f>COA!C6</f>
        <v>0</v>
      </c>
    </row>
    <row r="31" spans="2:3" x14ac:dyDescent="0.3">
      <c r="B31" s="20" t="s">
        <v>286</v>
      </c>
      <c r="C31" s="23">
        <f>C29*C30</f>
        <v>0</v>
      </c>
    </row>
    <row r="32" spans="2:3" x14ac:dyDescent="0.3">
      <c r="B32" s="20" t="s">
        <v>287</v>
      </c>
      <c r="C32" s="23" t="e">
        <f>C61/C20</f>
        <v>#DIV/0!</v>
      </c>
    </row>
    <row r="33" spans="2:3" x14ac:dyDescent="0.3">
      <c r="B33" s="20" t="s">
        <v>288</v>
      </c>
      <c r="C33" s="23" t="e">
        <f>C217/C20</f>
        <v>#DIV/0!</v>
      </c>
    </row>
    <row r="34" spans="2:3" x14ac:dyDescent="0.3">
      <c r="B34" s="20"/>
      <c r="C34" s="24"/>
    </row>
    <row r="35" spans="2:3" x14ac:dyDescent="0.3">
      <c r="B35" s="25" t="s">
        <v>289</v>
      </c>
    </row>
    <row r="36" spans="2:3" x14ac:dyDescent="0.3">
      <c r="B36" s="26" t="s">
        <v>290</v>
      </c>
      <c r="C36" s="27">
        <f>COA!C8</f>
        <v>0</v>
      </c>
    </row>
    <row r="37" spans="2:3" x14ac:dyDescent="0.3">
      <c r="B37" s="26" t="s">
        <v>291</v>
      </c>
      <c r="C37" s="28">
        <f>SUM(C38:C46)</f>
        <v>0</v>
      </c>
    </row>
    <row r="38" spans="2:3" x14ac:dyDescent="0.3">
      <c r="B38" s="29" t="s">
        <v>292</v>
      </c>
      <c r="C38" s="27">
        <v>0</v>
      </c>
    </row>
    <row r="39" spans="2:3" x14ac:dyDescent="0.3">
      <c r="B39" s="29" t="s">
        <v>293</v>
      </c>
      <c r="C39" s="27">
        <f>SUM(COA!C97,COA!C112)</f>
        <v>0</v>
      </c>
    </row>
    <row r="40" spans="2:3" x14ac:dyDescent="0.3">
      <c r="B40" s="29">
        <f>COA!Y86</f>
        <v>0</v>
      </c>
      <c r="C40" s="27">
        <f>SUM(COA!C86,COA!C101)</f>
        <v>0</v>
      </c>
    </row>
    <row r="41" spans="2:3" x14ac:dyDescent="0.3">
      <c r="B41" s="29">
        <f>COA!Y87</f>
        <v>0</v>
      </c>
      <c r="C41" s="27">
        <f>SUM(COA!C87,COA!C102)</f>
        <v>0</v>
      </c>
    </row>
    <row r="42" spans="2:3" x14ac:dyDescent="0.3">
      <c r="B42" s="29">
        <f>COA!Y88</f>
        <v>0</v>
      </c>
      <c r="C42" s="27">
        <f>SUM(COA!C88,COA!C103)</f>
        <v>0</v>
      </c>
    </row>
    <row r="43" spans="2:3" x14ac:dyDescent="0.3">
      <c r="B43" s="29">
        <f>COA!Y89</f>
        <v>0</v>
      </c>
      <c r="C43" s="27">
        <f>SUM(COA!C89,COA!C104)</f>
        <v>0</v>
      </c>
    </row>
    <row r="44" spans="2:3" x14ac:dyDescent="0.3">
      <c r="B44" s="29" t="s">
        <v>294</v>
      </c>
      <c r="C44" s="27">
        <f>SUM(COA!C90:C93,COA!C105:C108,COA!C98,COA!C113)</f>
        <v>0</v>
      </c>
    </row>
    <row r="45" spans="2:3" x14ac:dyDescent="0.3">
      <c r="B45" s="29" t="s">
        <v>295</v>
      </c>
      <c r="C45" s="27">
        <f>SUM(COA!C96,COA!C111)</f>
        <v>0</v>
      </c>
    </row>
    <row r="46" spans="2:3" x14ac:dyDescent="0.3">
      <c r="B46" s="29" t="s">
        <v>296</v>
      </c>
      <c r="C46" s="27">
        <f>COA!C9-SUM('KHP Model Accounts'!C38:C45)</f>
        <v>0</v>
      </c>
    </row>
    <row r="47" spans="2:3" x14ac:dyDescent="0.3">
      <c r="B47" s="26" t="s">
        <v>297</v>
      </c>
      <c r="C47" s="27">
        <f>COA!C146</f>
        <v>0</v>
      </c>
    </row>
    <row r="48" spans="2:3" x14ac:dyDescent="0.3">
      <c r="B48" s="26" t="s">
        <v>298</v>
      </c>
      <c r="C48" s="28">
        <f>SUM(C49:C50)</f>
        <v>0</v>
      </c>
    </row>
    <row r="49" spans="2:3" x14ac:dyDescent="0.3">
      <c r="B49" s="29" t="s">
        <v>299</v>
      </c>
      <c r="C49" s="27">
        <f>COA!C153-'KHP Model Accounts'!C50</f>
        <v>0</v>
      </c>
    </row>
    <row r="50" spans="2:3" x14ac:dyDescent="0.3">
      <c r="B50" s="29" t="s">
        <v>300</v>
      </c>
      <c r="C50" s="27">
        <f>COA!C151</f>
        <v>0</v>
      </c>
    </row>
    <row r="51" spans="2:3" x14ac:dyDescent="0.3">
      <c r="B51" s="26" t="s">
        <v>301</v>
      </c>
      <c r="C51" s="27">
        <f>COA!C158</f>
        <v>0</v>
      </c>
    </row>
    <row r="52" spans="2:3" x14ac:dyDescent="0.3">
      <c r="B52" s="26" t="s">
        <v>302</v>
      </c>
      <c r="C52" s="28">
        <f>SUM(C53:C55)</f>
        <v>0</v>
      </c>
    </row>
    <row r="53" spans="2:3" x14ac:dyDescent="0.3">
      <c r="B53" s="30" t="s">
        <v>303</v>
      </c>
      <c r="C53" s="27">
        <f>COA!C163</f>
        <v>0</v>
      </c>
    </row>
    <row r="54" spans="2:3" x14ac:dyDescent="0.3">
      <c r="B54" s="30" t="s">
        <v>304</v>
      </c>
      <c r="C54" s="27">
        <f>COA!C167</f>
        <v>0</v>
      </c>
    </row>
    <row r="55" spans="2:3" x14ac:dyDescent="0.3">
      <c r="B55" s="30" t="s">
        <v>305</v>
      </c>
      <c r="C55" s="27">
        <f>COA!C10-SUM('KHP Model Accounts'!C53:C54,'KHP Model Accounts'!C47:C48,C51)</f>
        <v>0</v>
      </c>
    </row>
    <row r="56" spans="2:3" x14ac:dyDescent="0.3">
      <c r="B56" s="26" t="s">
        <v>306</v>
      </c>
      <c r="C56" s="28">
        <f>SUM(C57:C59)</f>
        <v>0</v>
      </c>
    </row>
    <row r="57" spans="2:3" x14ac:dyDescent="0.3">
      <c r="B57" s="29" t="s">
        <v>307</v>
      </c>
      <c r="C57" s="27">
        <f>COA!C174</f>
        <v>0</v>
      </c>
    </row>
    <row r="58" spans="2:3" x14ac:dyDescent="0.3">
      <c r="B58" s="29" t="s">
        <v>308</v>
      </c>
      <c r="C58" s="27">
        <f>COA!C175</f>
        <v>0</v>
      </c>
    </row>
    <row r="59" spans="2:3" x14ac:dyDescent="0.3">
      <c r="B59" s="29" t="s">
        <v>309</v>
      </c>
      <c r="C59" s="27">
        <f>COA!C11-SUM('KHP Model Accounts'!C57:C58)</f>
        <v>0</v>
      </c>
    </row>
    <row r="60" spans="2:3" x14ac:dyDescent="0.3">
      <c r="B60" s="20"/>
    </row>
    <row r="61" spans="2:3" x14ac:dyDescent="0.3">
      <c r="B61" s="31" t="s">
        <v>310</v>
      </c>
      <c r="C61" s="32">
        <f>SUM(C56,C51:C52,C47:C48,C36:C37)</f>
        <v>0</v>
      </c>
    </row>
    <row r="62" spans="2:3" x14ac:dyDescent="0.3">
      <c r="B62" s="31" t="s">
        <v>311</v>
      </c>
      <c r="C62" s="33" t="e">
        <f>C61/C21</f>
        <v>#DIV/0!</v>
      </c>
    </row>
    <row r="63" spans="2:3" x14ac:dyDescent="0.3">
      <c r="B63" s="20"/>
    </row>
    <row r="64" spans="2:3" x14ac:dyDescent="0.3">
      <c r="B64" s="25" t="s">
        <v>312</v>
      </c>
    </row>
    <row r="65" spans="2:3" x14ac:dyDescent="0.3">
      <c r="B65" s="26" t="s">
        <v>290</v>
      </c>
    </row>
    <row r="66" spans="2:3" x14ac:dyDescent="0.3">
      <c r="B66" s="34" t="s">
        <v>313</v>
      </c>
      <c r="C66" s="27">
        <f>SUM(COA!C63,COA!C65)</f>
        <v>0</v>
      </c>
    </row>
    <row r="67" spans="2:3" x14ac:dyDescent="0.3">
      <c r="B67" s="34" t="s">
        <v>314</v>
      </c>
      <c r="C67" s="35">
        <f>C68-C66</f>
        <v>0</v>
      </c>
    </row>
    <row r="68" spans="2:3" x14ac:dyDescent="0.3">
      <c r="B68" s="29" t="s">
        <v>315</v>
      </c>
      <c r="C68" s="27">
        <f>COA!C70</f>
        <v>0</v>
      </c>
    </row>
    <row r="69" spans="2:3" x14ac:dyDescent="0.3">
      <c r="B69" s="34" t="s">
        <v>316</v>
      </c>
      <c r="C69" s="27">
        <f>SUM(COA!C71)</f>
        <v>0</v>
      </c>
    </row>
    <row r="70" spans="2:3" x14ac:dyDescent="0.3">
      <c r="B70" s="34" t="s">
        <v>317</v>
      </c>
      <c r="C70" s="27">
        <f>COA!C82</f>
        <v>0</v>
      </c>
    </row>
    <row r="71" spans="2:3" x14ac:dyDescent="0.3">
      <c r="B71" s="34" t="s">
        <v>318</v>
      </c>
      <c r="C71" s="27">
        <f>COA!C77</f>
        <v>0</v>
      </c>
    </row>
    <row r="72" spans="2:3" x14ac:dyDescent="0.3">
      <c r="B72" s="34" t="s">
        <v>319</v>
      </c>
      <c r="C72" s="27">
        <f>COA!C72</f>
        <v>0</v>
      </c>
    </row>
    <row r="73" spans="2:3" x14ac:dyDescent="0.3">
      <c r="B73" s="34" t="s">
        <v>320</v>
      </c>
      <c r="C73" s="27">
        <f>COA!C78</f>
        <v>0</v>
      </c>
    </row>
    <row r="74" spans="2:3" x14ac:dyDescent="0.3">
      <c r="B74" s="34" t="s">
        <v>321</v>
      </c>
      <c r="C74" s="35">
        <f>C75-SUM(C69:C73)</f>
        <v>0</v>
      </c>
    </row>
    <row r="75" spans="2:3" x14ac:dyDescent="0.3">
      <c r="B75" s="29" t="s">
        <v>322</v>
      </c>
      <c r="C75" s="27">
        <f>COA!C13-'KHP Model Accounts'!C68</f>
        <v>0</v>
      </c>
    </row>
    <row r="76" spans="2:3" x14ac:dyDescent="0.3">
      <c r="B76" s="26" t="s">
        <v>323</v>
      </c>
      <c r="C76" s="36">
        <f>C75+C68</f>
        <v>0</v>
      </c>
    </row>
    <row r="77" spans="2:3" x14ac:dyDescent="0.3">
      <c r="B77" s="26" t="s">
        <v>324</v>
      </c>
      <c r="C77" s="37" t="e">
        <f>C76/C36</f>
        <v>#DIV/0!</v>
      </c>
    </row>
    <row r="78" spans="2:3" x14ac:dyDescent="0.3">
      <c r="B78" s="26" t="s">
        <v>325</v>
      </c>
      <c r="C78" s="38" t="e">
        <f>C76/C20</f>
        <v>#DIV/0!</v>
      </c>
    </row>
    <row r="79" spans="2:3" x14ac:dyDescent="0.3">
      <c r="B79" s="26"/>
    </row>
    <row r="80" spans="2:3" x14ac:dyDescent="0.3">
      <c r="B80" s="26" t="s">
        <v>291</v>
      </c>
      <c r="C80" s="39">
        <f>SUM(C81:C83)</f>
        <v>0</v>
      </c>
    </row>
    <row r="81" spans="2:3" x14ac:dyDescent="0.3">
      <c r="B81" s="40" t="s">
        <v>326</v>
      </c>
      <c r="C81" s="27">
        <f>COA!C128</f>
        <v>0</v>
      </c>
    </row>
    <row r="82" spans="2:3" x14ac:dyDescent="0.3">
      <c r="B82" s="40" t="s">
        <v>327</v>
      </c>
      <c r="C82" s="27">
        <f>COA!C143</f>
        <v>0</v>
      </c>
    </row>
    <row r="83" spans="2:3" x14ac:dyDescent="0.3">
      <c r="B83" s="40" t="s">
        <v>328</v>
      </c>
      <c r="C83" s="27">
        <f>COA!C14-SUM('KHP Model Accounts'!C81:C82)</f>
        <v>0</v>
      </c>
    </row>
    <row r="84" spans="2:3" hidden="1" x14ac:dyDescent="0.3">
      <c r="B84" s="41" t="s">
        <v>292</v>
      </c>
      <c r="C84" s="42">
        <f>+SUM(C85:C87)</f>
        <v>0</v>
      </c>
    </row>
    <row r="85" spans="2:3" hidden="1" x14ac:dyDescent="0.3">
      <c r="B85" s="43" t="s">
        <v>329</v>
      </c>
      <c r="C85" s="44">
        <v>0</v>
      </c>
    </row>
    <row r="86" spans="2:3" hidden="1" x14ac:dyDescent="0.3">
      <c r="B86" s="43" t="s">
        <v>330</v>
      </c>
      <c r="C86" s="44">
        <v>0</v>
      </c>
    </row>
    <row r="87" spans="2:3" hidden="1" x14ac:dyDescent="0.3">
      <c r="B87" s="43" t="s">
        <v>331</v>
      </c>
      <c r="C87" s="44">
        <v>0</v>
      </c>
    </row>
    <row r="88" spans="2:3" hidden="1" x14ac:dyDescent="0.3">
      <c r="B88" s="41" t="s">
        <v>293</v>
      </c>
      <c r="C88" s="42">
        <f>+SUM(C89:C91)</f>
        <v>0</v>
      </c>
    </row>
    <row r="89" spans="2:3" hidden="1" x14ac:dyDescent="0.3">
      <c r="B89" s="43" t="s">
        <v>332</v>
      </c>
      <c r="C89" s="44">
        <v>0</v>
      </c>
    </row>
    <row r="90" spans="2:3" hidden="1" x14ac:dyDescent="0.3">
      <c r="B90" s="43" t="s">
        <v>333</v>
      </c>
      <c r="C90" s="44">
        <v>0</v>
      </c>
    </row>
    <row r="91" spans="2:3" hidden="1" x14ac:dyDescent="0.3">
      <c r="B91" s="43" t="s">
        <v>334</v>
      </c>
      <c r="C91" s="44">
        <v>0</v>
      </c>
    </row>
    <row r="92" spans="2:3" hidden="1" x14ac:dyDescent="0.3">
      <c r="B92" s="41" t="s">
        <v>335</v>
      </c>
      <c r="C92" s="42">
        <f>+SUM(C93:C95)</f>
        <v>0</v>
      </c>
    </row>
    <row r="93" spans="2:3" hidden="1" x14ac:dyDescent="0.3">
      <c r="B93" s="43" t="s">
        <v>336</v>
      </c>
      <c r="C93" s="44">
        <v>0</v>
      </c>
    </row>
    <row r="94" spans="2:3" hidden="1" x14ac:dyDescent="0.3">
      <c r="B94" s="43" t="s">
        <v>337</v>
      </c>
      <c r="C94" s="44">
        <v>0</v>
      </c>
    </row>
    <row r="95" spans="2:3" hidden="1" x14ac:dyDescent="0.3">
      <c r="B95" s="43" t="s">
        <v>338</v>
      </c>
      <c r="C95" s="44">
        <v>0</v>
      </c>
    </row>
    <row r="96" spans="2:3" hidden="1" x14ac:dyDescent="0.3">
      <c r="B96" s="41" t="s">
        <v>339</v>
      </c>
      <c r="C96" s="42">
        <f>+SUM(C97:C99)</f>
        <v>0</v>
      </c>
    </row>
    <row r="97" spans="2:3" hidden="1" x14ac:dyDescent="0.3">
      <c r="B97" s="43" t="s">
        <v>340</v>
      </c>
      <c r="C97" s="44">
        <v>0</v>
      </c>
    </row>
    <row r="98" spans="2:3" hidden="1" x14ac:dyDescent="0.3">
      <c r="B98" s="43" t="s">
        <v>341</v>
      </c>
      <c r="C98" s="44">
        <v>0</v>
      </c>
    </row>
    <row r="99" spans="2:3" hidden="1" x14ac:dyDescent="0.3">
      <c r="B99" s="43" t="s">
        <v>342</v>
      </c>
      <c r="C99" s="44">
        <v>0</v>
      </c>
    </row>
    <row r="100" spans="2:3" hidden="1" x14ac:dyDescent="0.3">
      <c r="B100" s="41" t="s">
        <v>343</v>
      </c>
      <c r="C100" s="42">
        <f>+SUM(C101:C103)</f>
        <v>0</v>
      </c>
    </row>
    <row r="101" spans="2:3" hidden="1" x14ac:dyDescent="0.3">
      <c r="B101" s="43" t="s">
        <v>344</v>
      </c>
      <c r="C101" s="44">
        <v>0</v>
      </c>
    </row>
    <row r="102" spans="2:3" hidden="1" x14ac:dyDescent="0.3">
      <c r="B102" s="43" t="s">
        <v>345</v>
      </c>
      <c r="C102" s="44">
        <v>0</v>
      </c>
    </row>
    <row r="103" spans="2:3" hidden="1" x14ac:dyDescent="0.3">
      <c r="B103" s="43" t="s">
        <v>346</v>
      </c>
      <c r="C103" s="44">
        <v>0</v>
      </c>
    </row>
    <row r="104" spans="2:3" hidden="1" x14ac:dyDescent="0.3">
      <c r="B104" s="41" t="s">
        <v>347</v>
      </c>
      <c r="C104" s="42">
        <f>+SUM(C105:C107)</f>
        <v>0</v>
      </c>
    </row>
    <row r="105" spans="2:3" hidden="1" x14ac:dyDescent="0.3">
      <c r="B105" s="43" t="s">
        <v>348</v>
      </c>
      <c r="C105" s="44">
        <v>0</v>
      </c>
    </row>
    <row r="106" spans="2:3" hidden="1" x14ac:dyDescent="0.3">
      <c r="B106" s="43" t="s">
        <v>349</v>
      </c>
      <c r="C106" s="44">
        <v>0</v>
      </c>
    </row>
    <row r="107" spans="2:3" hidden="1" x14ac:dyDescent="0.3">
      <c r="B107" s="43" t="s">
        <v>350</v>
      </c>
      <c r="C107" s="44">
        <v>0</v>
      </c>
    </row>
    <row r="108" spans="2:3" hidden="1" x14ac:dyDescent="0.3">
      <c r="B108" s="41" t="s">
        <v>351</v>
      </c>
      <c r="C108" s="42">
        <f>+SUM(C109:C111)</f>
        <v>0</v>
      </c>
    </row>
    <row r="109" spans="2:3" hidden="1" x14ac:dyDescent="0.3">
      <c r="B109" s="43" t="s">
        <v>352</v>
      </c>
      <c r="C109" s="44">
        <v>0</v>
      </c>
    </row>
    <row r="110" spans="2:3" hidden="1" x14ac:dyDescent="0.3">
      <c r="B110" s="43" t="s">
        <v>353</v>
      </c>
      <c r="C110" s="44">
        <v>0</v>
      </c>
    </row>
    <row r="111" spans="2:3" hidden="1" x14ac:dyDescent="0.3">
      <c r="B111" s="43" t="s">
        <v>354</v>
      </c>
      <c r="C111" s="44">
        <v>0</v>
      </c>
    </row>
    <row r="112" spans="2:3" hidden="1" x14ac:dyDescent="0.3">
      <c r="B112" s="41" t="s">
        <v>295</v>
      </c>
      <c r="C112" s="42">
        <f>+SUM(C113:C115)</f>
        <v>0</v>
      </c>
    </row>
    <row r="113" spans="2:3" hidden="1" x14ac:dyDescent="0.3">
      <c r="B113" s="45" t="s">
        <v>355</v>
      </c>
      <c r="C113" s="44">
        <v>0</v>
      </c>
    </row>
    <row r="114" spans="2:3" hidden="1" x14ac:dyDescent="0.3">
      <c r="B114" s="45" t="s">
        <v>356</v>
      </c>
      <c r="C114" s="44">
        <v>0</v>
      </c>
    </row>
    <row r="115" spans="2:3" hidden="1" x14ac:dyDescent="0.3">
      <c r="B115" s="45" t="s">
        <v>357</v>
      </c>
      <c r="C115" s="44">
        <v>0</v>
      </c>
    </row>
    <row r="116" spans="2:3" hidden="1" x14ac:dyDescent="0.3">
      <c r="B116" s="41" t="s">
        <v>358</v>
      </c>
      <c r="C116" s="44">
        <v>0</v>
      </c>
    </row>
    <row r="117" spans="2:3" x14ac:dyDescent="0.3">
      <c r="B117" s="26" t="s">
        <v>297</v>
      </c>
      <c r="C117" s="39">
        <f>SUM(C118:C120)</f>
        <v>0</v>
      </c>
    </row>
    <row r="118" spans="2:3" x14ac:dyDescent="0.3">
      <c r="B118" s="29" t="s">
        <v>359</v>
      </c>
      <c r="C118" s="27">
        <f>COA!C147</f>
        <v>0</v>
      </c>
    </row>
    <row r="119" spans="2:3" x14ac:dyDescent="0.3">
      <c r="B119" s="29" t="s">
        <v>360</v>
      </c>
      <c r="C119" s="27">
        <f>COA!C148</f>
        <v>0</v>
      </c>
    </row>
    <row r="120" spans="2:3" x14ac:dyDescent="0.3">
      <c r="B120" s="29" t="s">
        <v>361</v>
      </c>
      <c r="C120" s="27">
        <f>COA!C150-SUM('KHP Model Accounts'!C118:C119)</f>
        <v>0</v>
      </c>
    </row>
    <row r="121" spans="2:3" x14ac:dyDescent="0.3">
      <c r="B121" s="26" t="s">
        <v>298</v>
      </c>
      <c r="C121" s="39">
        <f>SUM(C122:C124)</f>
        <v>0</v>
      </c>
    </row>
    <row r="122" spans="2:3" x14ac:dyDescent="0.3">
      <c r="B122" s="29" t="s">
        <v>362</v>
      </c>
      <c r="C122" s="27">
        <f>COA!C154</f>
        <v>0</v>
      </c>
    </row>
    <row r="123" spans="2:3" x14ac:dyDescent="0.3">
      <c r="B123" s="29" t="s">
        <v>363</v>
      </c>
      <c r="C123" s="27">
        <f>COA!C155</f>
        <v>0</v>
      </c>
    </row>
    <row r="124" spans="2:3" x14ac:dyDescent="0.3">
      <c r="B124" s="29" t="s">
        <v>364</v>
      </c>
      <c r="C124" s="27">
        <f>COA!C157-SUM('KHP Model Accounts'!C122:C123)</f>
        <v>0</v>
      </c>
    </row>
    <row r="125" spans="2:3" x14ac:dyDescent="0.3">
      <c r="B125" s="29" t="s">
        <v>365</v>
      </c>
      <c r="C125" s="27">
        <v>0</v>
      </c>
    </row>
    <row r="126" spans="2:3" x14ac:dyDescent="0.3">
      <c r="B126" s="26" t="s">
        <v>301</v>
      </c>
      <c r="C126" s="39">
        <f>SUM(C127:C129)</f>
        <v>0</v>
      </c>
    </row>
    <row r="127" spans="2:3" x14ac:dyDescent="0.3">
      <c r="B127" s="29" t="s">
        <v>366</v>
      </c>
      <c r="C127" s="27">
        <f>COA!C159</f>
        <v>0</v>
      </c>
    </row>
    <row r="128" spans="2:3" x14ac:dyDescent="0.3">
      <c r="B128" s="29" t="s">
        <v>367</v>
      </c>
      <c r="C128" s="27">
        <f>COA!C160</f>
        <v>0</v>
      </c>
    </row>
    <row r="129" spans="2:3" x14ac:dyDescent="0.3">
      <c r="B129" s="29" t="s">
        <v>368</v>
      </c>
      <c r="C129" s="27">
        <f>COA!C162-SUM('KHP Model Accounts'!C127:C128)</f>
        <v>0</v>
      </c>
    </row>
    <row r="130" spans="2:3" x14ac:dyDescent="0.3">
      <c r="B130" s="26" t="s">
        <v>302</v>
      </c>
      <c r="C130" s="28">
        <f>SUM(C131:C133)</f>
        <v>0</v>
      </c>
    </row>
    <row r="131" spans="2:3" x14ac:dyDescent="0.3">
      <c r="B131" s="29" t="str">
        <f>B53</f>
        <v>Recreation</v>
      </c>
      <c r="C131" s="27">
        <f>COA!C164</f>
        <v>0</v>
      </c>
    </row>
    <row r="132" spans="2:3" x14ac:dyDescent="0.3">
      <c r="B132" s="29" t="str">
        <f>B54</f>
        <v>Golf</v>
      </c>
      <c r="C132" s="27">
        <f>COA!C168</f>
        <v>0</v>
      </c>
    </row>
    <row r="133" spans="2:3" x14ac:dyDescent="0.3">
      <c r="B133" s="29" t="str">
        <f>B55</f>
        <v>All Other OOD</v>
      </c>
      <c r="C133" s="27">
        <f>COA!C15-SUM('KHP Model Accounts'!C131:C132,'KHP Model Accounts'!C126,'KHP Model Accounts'!C121,'KHP Model Accounts'!C117)</f>
        <v>0</v>
      </c>
    </row>
    <row r="134" spans="2:3" x14ac:dyDescent="0.3">
      <c r="B134" s="26" t="s">
        <v>306</v>
      </c>
      <c r="C134" s="27">
        <v>0</v>
      </c>
    </row>
    <row r="135" spans="2:3" x14ac:dyDescent="0.3">
      <c r="B135" s="20"/>
    </row>
    <row r="136" spans="2:3" x14ac:dyDescent="0.3">
      <c r="B136" s="25" t="s">
        <v>369</v>
      </c>
      <c r="C136" s="32">
        <f>SUM(C130,C126,C121,C117,C80,C76)</f>
        <v>0</v>
      </c>
    </row>
    <row r="137" spans="2:3" x14ac:dyDescent="0.3">
      <c r="B137" s="25" t="s">
        <v>370</v>
      </c>
      <c r="C137" s="46" t="e">
        <f>C136/C61</f>
        <v>#DIV/0!</v>
      </c>
    </row>
    <row r="138" spans="2:3" x14ac:dyDescent="0.3">
      <c r="B138" s="20"/>
    </row>
    <row r="139" spans="2:3" x14ac:dyDescent="0.3">
      <c r="B139" s="25" t="s">
        <v>371</v>
      </c>
      <c r="C139" s="32">
        <f>C61-C136</f>
        <v>0</v>
      </c>
    </row>
    <row r="140" spans="2:3" x14ac:dyDescent="0.3">
      <c r="B140" s="25" t="s">
        <v>372</v>
      </c>
      <c r="C140" s="47" t="e">
        <f>C139/C61</f>
        <v>#DIV/0!</v>
      </c>
    </row>
    <row r="141" spans="2:3" x14ac:dyDescent="0.3">
      <c r="B141" s="25" t="s">
        <v>373</v>
      </c>
      <c r="C141" s="33" t="e">
        <f>C139/C20</f>
        <v>#DIV/0!</v>
      </c>
    </row>
    <row r="142" spans="2:3" x14ac:dyDescent="0.3">
      <c r="B142" s="20"/>
    </row>
    <row r="143" spans="2:3" x14ac:dyDescent="0.3">
      <c r="B143" s="25" t="s">
        <v>374</v>
      </c>
    </row>
    <row r="144" spans="2:3" x14ac:dyDescent="0.3">
      <c r="B144" s="26" t="s">
        <v>375</v>
      </c>
    </row>
    <row r="145" spans="2:3" x14ac:dyDescent="0.3">
      <c r="B145" s="43" t="s">
        <v>376</v>
      </c>
      <c r="C145" s="27">
        <f>COA!C178+COA!C180</f>
        <v>0</v>
      </c>
    </row>
    <row r="146" spans="2:3" x14ac:dyDescent="0.3">
      <c r="B146" s="43" t="s">
        <v>314</v>
      </c>
      <c r="C146" s="35">
        <f>C147-C145</f>
        <v>0</v>
      </c>
    </row>
    <row r="147" spans="2:3" x14ac:dyDescent="0.3">
      <c r="B147" s="41" t="s">
        <v>377</v>
      </c>
      <c r="C147" s="27">
        <f>COA!C185</f>
        <v>0</v>
      </c>
    </row>
    <row r="148" spans="2:3" x14ac:dyDescent="0.3">
      <c r="B148" s="43" t="s">
        <v>378</v>
      </c>
      <c r="C148" s="27">
        <f>COA!C192</f>
        <v>0</v>
      </c>
    </row>
    <row r="149" spans="2:3" x14ac:dyDescent="0.3">
      <c r="B149" s="43" t="s">
        <v>379</v>
      </c>
      <c r="C149" s="27">
        <f>COA!C191</f>
        <v>0</v>
      </c>
    </row>
    <row r="150" spans="2:3" x14ac:dyDescent="0.3">
      <c r="B150" s="43" t="s">
        <v>380</v>
      </c>
      <c r="C150" s="27">
        <f>COA!C193</f>
        <v>0</v>
      </c>
    </row>
    <row r="151" spans="2:3" x14ac:dyDescent="0.3">
      <c r="B151" s="43" t="s">
        <v>381</v>
      </c>
      <c r="C151" s="27">
        <f>COA!C194</f>
        <v>0</v>
      </c>
    </row>
    <row r="152" spans="2:3" x14ac:dyDescent="0.3">
      <c r="B152" s="43" t="s">
        <v>382</v>
      </c>
      <c r="C152" s="35">
        <f>C153-SUM(C148:C151)</f>
        <v>0</v>
      </c>
    </row>
    <row r="153" spans="2:3" x14ac:dyDescent="0.3">
      <c r="B153" s="41" t="s">
        <v>383</v>
      </c>
      <c r="C153" s="27">
        <f>COA!C18-'KHP Model Accounts'!C147</f>
        <v>0</v>
      </c>
    </row>
    <row r="154" spans="2:3" x14ac:dyDescent="0.3">
      <c r="B154" s="26" t="s">
        <v>384</v>
      </c>
      <c r="C154" s="36">
        <f>C153+C147</f>
        <v>0</v>
      </c>
    </row>
    <row r="155" spans="2:3" x14ac:dyDescent="0.3">
      <c r="B155" s="26" t="s">
        <v>385</v>
      </c>
      <c r="C155" s="37" t="e">
        <f>C154/C$61</f>
        <v>#DIV/0!</v>
      </c>
    </row>
    <row r="156" spans="2:3" x14ac:dyDescent="0.3">
      <c r="B156" s="26" t="s">
        <v>386</v>
      </c>
      <c r="C156" s="48" t="e">
        <f>C154/C20*365</f>
        <v>#DIV/0!</v>
      </c>
    </row>
    <row r="157" spans="2:3" x14ac:dyDescent="0.3">
      <c r="B157" s="20"/>
    </row>
    <row r="158" spans="2:3" x14ac:dyDescent="0.3">
      <c r="B158" s="26" t="s">
        <v>387</v>
      </c>
    </row>
    <row r="159" spans="2:3" x14ac:dyDescent="0.3">
      <c r="B159" s="43" t="s">
        <v>376</v>
      </c>
      <c r="C159" s="27">
        <f>SUM(COA!C203,COA!C205)</f>
        <v>0</v>
      </c>
    </row>
    <row r="160" spans="2:3" x14ac:dyDescent="0.3">
      <c r="B160" s="43" t="s">
        <v>314</v>
      </c>
      <c r="C160" s="35">
        <f>C161-C159</f>
        <v>0</v>
      </c>
    </row>
    <row r="161" spans="2:3" x14ac:dyDescent="0.3">
      <c r="B161" s="41" t="s">
        <v>388</v>
      </c>
      <c r="C161" s="27">
        <f>COA!C210</f>
        <v>0</v>
      </c>
    </row>
    <row r="162" spans="2:3" x14ac:dyDescent="0.3">
      <c r="B162" s="41" t="s">
        <v>389</v>
      </c>
      <c r="C162" s="27">
        <f>COA!C202</f>
        <v>0</v>
      </c>
    </row>
    <row r="163" spans="2:3" x14ac:dyDescent="0.3">
      <c r="B163" s="41" t="s">
        <v>390</v>
      </c>
      <c r="C163" s="27">
        <f>COA!C211</f>
        <v>0</v>
      </c>
    </row>
    <row r="164" spans="2:3" x14ac:dyDescent="0.3">
      <c r="B164" s="41" t="s">
        <v>391</v>
      </c>
      <c r="C164" s="27">
        <f>COA!C19-SUM('KHP Model Accounts'!C161:C163)</f>
        <v>0</v>
      </c>
    </row>
    <row r="165" spans="2:3" x14ac:dyDescent="0.3">
      <c r="B165" s="26" t="s">
        <v>392</v>
      </c>
      <c r="C165" s="36">
        <f>SUM(C161:C164)</f>
        <v>0</v>
      </c>
    </row>
    <row r="166" spans="2:3" x14ac:dyDescent="0.3">
      <c r="B166" s="26" t="s">
        <v>393</v>
      </c>
      <c r="C166" s="37" t="e">
        <f>C165/C$61</f>
        <v>#DIV/0!</v>
      </c>
    </row>
    <row r="167" spans="2:3" x14ac:dyDescent="0.3">
      <c r="B167" s="26" t="s">
        <v>394</v>
      </c>
      <c r="C167" s="48" t="e">
        <f>C165/C20*365</f>
        <v>#DIV/0!</v>
      </c>
    </row>
    <row r="168" spans="2:3" x14ac:dyDescent="0.3">
      <c r="B168" s="20"/>
    </row>
    <row r="169" spans="2:3" x14ac:dyDescent="0.3">
      <c r="B169" s="26" t="s">
        <v>395</v>
      </c>
      <c r="C169" s="39"/>
    </row>
    <row r="170" spans="2:3" x14ac:dyDescent="0.3">
      <c r="B170" s="43" t="s">
        <v>376</v>
      </c>
      <c r="C170" s="27">
        <f>SUM(COA!C216,COA!C218)</f>
        <v>0</v>
      </c>
    </row>
    <row r="171" spans="2:3" x14ac:dyDescent="0.3">
      <c r="B171" s="43" t="s">
        <v>314</v>
      </c>
      <c r="C171" s="35">
        <f>C172-C170</f>
        <v>0</v>
      </c>
    </row>
    <row r="172" spans="2:3" x14ac:dyDescent="0.3">
      <c r="B172" s="41" t="s">
        <v>396</v>
      </c>
      <c r="C172" s="27">
        <f>COA!C223</f>
        <v>0</v>
      </c>
    </row>
    <row r="173" spans="2:3" x14ac:dyDescent="0.3">
      <c r="B173" s="43" t="s">
        <v>397</v>
      </c>
      <c r="C173" s="27">
        <f>COA!C224</f>
        <v>0</v>
      </c>
    </row>
    <row r="174" spans="2:3" x14ac:dyDescent="0.3">
      <c r="B174" s="43" t="s">
        <v>398</v>
      </c>
      <c r="C174" s="27">
        <f>COA!C230</f>
        <v>0</v>
      </c>
    </row>
    <row r="175" spans="2:3" x14ac:dyDescent="0.3">
      <c r="B175" s="43" t="s">
        <v>399</v>
      </c>
      <c r="C175" s="27">
        <f>COA!C231</f>
        <v>0</v>
      </c>
    </row>
    <row r="176" spans="2:3" x14ac:dyDescent="0.3">
      <c r="B176" s="43" t="s">
        <v>400</v>
      </c>
      <c r="C176" s="27">
        <f>COA!C232</f>
        <v>0</v>
      </c>
    </row>
    <row r="177" spans="2:3" x14ac:dyDescent="0.3">
      <c r="B177" s="43" t="s">
        <v>401</v>
      </c>
      <c r="C177" s="27">
        <f>COA!C237</f>
        <v>0</v>
      </c>
    </row>
    <row r="178" spans="2:3" x14ac:dyDescent="0.3">
      <c r="B178" s="49" t="s">
        <v>402</v>
      </c>
      <c r="C178" s="21"/>
    </row>
    <row r="179" spans="2:3" x14ac:dyDescent="0.3">
      <c r="B179" s="43" t="s">
        <v>403</v>
      </c>
      <c r="C179" s="50">
        <f>C180-SUM(C173:C177)</f>
        <v>0</v>
      </c>
    </row>
    <row r="180" spans="2:3" x14ac:dyDescent="0.3">
      <c r="B180" s="41" t="s">
        <v>404</v>
      </c>
      <c r="C180" s="27">
        <f>COA!C20-SUM('KHP Model Accounts'!C172,C190)</f>
        <v>0</v>
      </c>
    </row>
    <row r="181" spans="2:3" x14ac:dyDescent="0.3">
      <c r="B181" s="26" t="s">
        <v>405</v>
      </c>
      <c r="C181" s="36">
        <f>C180+C172</f>
        <v>0</v>
      </c>
    </row>
    <row r="182" spans="2:3" x14ac:dyDescent="0.3">
      <c r="B182" s="26" t="s">
        <v>406</v>
      </c>
      <c r="C182" s="37" t="e">
        <f>C181/C$61</f>
        <v>#DIV/0!</v>
      </c>
    </row>
    <row r="183" spans="2:3" x14ac:dyDescent="0.3">
      <c r="B183" s="26" t="s">
        <v>407</v>
      </c>
      <c r="C183" s="48" t="e">
        <f>C181/C20*365</f>
        <v>#DIV/0!</v>
      </c>
    </row>
    <row r="184" spans="2:3" x14ac:dyDescent="0.3">
      <c r="B184" s="41"/>
      <c r="C184" s="39"/>
    </row>
    <row r="185" spans="2:3" x14ac:dyDescent="0.3">
      <c r="B185" s="26" t="s">
        <v>408</v>
      </c>
    </row>
    <row r="186" spans="2:3" x14ac:dyDescent="0.3">
      <c r="B186" s="41" t="s">
        <v>409</v>
      </c>
      <c r="C186" s="27">
        <f>COA!C234</f>
        <v>0</v>
      </c>
    </row>
    <row r="187" spans="2:3" x14ac:dyDescent="0.3">
      <c r="B187" s="41" t="s">
        <v>410</v>
      </c>
      <c r="C187" s="27">
        <v>0</v>
      </c>
    </row>
    <row r="188" spans="2:3" x14ac:dyDescent="0.3">
      <c r="B188" s="41" t="s">
        <v>411</v>
      </c>
      <c r="C188" s="27">
        <f>COA!C235</f>
        <v>0</v>
      </c>
    </row>
    <row r="189" spans="2:3" x14ac:dyDescent="0.3">
      <c r="B189" s="41" t="s">
        <v>412</v>
      </c>
      <c r="C189" s="27">
        <v>0</v>
      </c>
    </row>
    <row r="190" spans="2:3" x14ac:dyDescent="0.3">
      <c r="B190" s="26" t="s">
        <v>413</v>
      </c>
      <c r="C190" s="36">
        <f>SUM(C186:C189)</f>
        <v>0</v>
      </c>
    </row>
    <row r="191" spans="2:3" x14ac:dyDescent="0.3">
      <c r="B191" s="26" t="s">
        <v>414</v>
      </c>
      <c r="C191" s="37" t="e">
        <f>C190/C$61</f>
        <v>#DIV/0!</v>
      </c>
    </row>
    <row r="192" spans="2:3" x14ac:dyDescent="0.3">
      <c r="B192" s="26" t="s">
        <v>415</v>
      </c>
      <c r="C192" s="48" t="e">
        <f>C190/C20*365</f>
        <v>#DIV/0!</v>
      </c>
    </row>
    <row r="193" spans="2:3" x14ac:dyDescent="0.3">
      <c r="B193" s="20"/>
    </row>
    <row r="194" spans="2:3" x14ac:dyDescent="0.3">
      <c r="B194" s="26" t="s">
        <v>416</v>
      </c>
    </row>
    <row r="195" spans="2:3" x14ac:dyDescent="0.3">
      <c r="B195" s="43" t="s">
        <v>376</v>
      </c>
      <c r="C195" s="27">
        <f>SUM(COA!C241,COA!C243)</f>
        <v>0</v>
      </c>
    </row>
    <row r="196" spans="2:3" x14ac:dyDescent="0.3">
      <c r="B196" s="43" t="s">
        <v>314</v>
      </c>
      <c r="C196" s="35">
        <f>C197-C195</f>
        <v>0</v>
      </c>
    </row>
    <row r="197" spans="2:3" x14ac:dyDescent="0.3">
      <c r="B197" s="41" t="s">
        <v>417</v>
      </c>
      <c r="C197" s="27">
        <f>COA!C248</f>
        <v>0</v>
      </c>
    </row>
    <row r="198" spans="2:3" x14ac:dyDescent="0.3">
      <c r="B198" s="45" t="s">
        <v>399</v>
      </c>
      <c r="C198" s="27">
        <f>COA!C249</f>
        <v>0</v>
      </c>
    </row>
    <row r="199" spans="2:3" x14ac:dyDescent="0.3">
      <c r="B199" s="45" t="s">
        <v>418</v>
      </c>
      <c r="C199" s="27">
        <f>COA!C250</f>
        <v>0</v>
      </c>
    </row>
    <row r="200" spans="2:3" x14ac:dyDescent="0.3">
      <c r="B200" s="45" t="s">
        <v>419</v>
      </c>
      <c r="C200" s="50">
        <f>C201-SUM(C198:C199)</f>
        <v>0</v>
      </c>
    </row>
    <row r="201" spans="2:3" x14ac:dyDescent="0.3">
      <c r="B201" s="41" t="s">
        <v>420</v>
      </c>
      <c r="C201" s="27">
        <f>COA!C21-'KHP Model Accounts'!C197</f>
        <v>0</v>
      </c>
    </row>
    <row r="202" spans="2:3" x14ac:dyDescent="0.3">
      <c r="B202" s="26" t="s">
        <v>421</v>
      </c>
      <c r="C202" s="36">
        <f>C201+C197</f>
        <v>0</v>
      </c>
    </row>
    <row r="203" spans="2:3" x14ac:dyDescent="0.3">
      <c r="B203" s="26" t="s">
        <v>422</v>
      </c>
      <c r="C203" s="37" t="e">
        <f>C202/C$61</f>
        <v>#DIV/0!</v>
      </c>
    </row>
    <row r="204" spans="2:3" x14ac:dyDescent="0.3">
      <c r="B204" s="26" t="s">
        <v>423</v>
      </c>
      <c r="C204" s="48" t="e">
        <f>C202/C20*365</f>
        <v>#DIV/0!</v>
      </c>
    </row>
    <row r="205" spans="2:3" x14ac:dyDescent="0.3">
      <c r="B205" s="20"/>
    </row>
    <row r="206" spans="2:3" x14ac:dyDescent="0.3">
      <c r="B206" s="26" t="s">
        <v>424</v>
      </c>
    </row>
    <row r="207" spans="2:3" x14ac:dyDescent="0.3">
      <c r="B207" s="26" t="s">
        <v>425</v>
      </c>
      <c r="C207" s="51">
        <f>COA!C22</f>
        <v>0</v>
      </c>
    </row>
    <row r="208" spans="2:3" x14ac:dyDescent="0.3">
      <c r="B208" s="26" t="s">
        <v>426</v>
      </c>
      <c r="C208" s="37" t="e">
        <f>C207/C61</f>
        <v>#DIV/0!</v>
      </c>
    </row>
    <row r="209" spans="2:3" x14ac:dyDescent="0.3">
      <c r="B209" s="26" t="s">
        <v>427</v>
      </c>
      <c r="C209" s="21">
        <v>0.6</v>
      </c>
    </row>
    <row r="210" spans="2:3" x14ac:dyDescent="0.3">
      <c r="B210" s="26" t="s">
        <v>428</v>
      </c>
      <c r="C210" s="52">
        <v>0.4</v>
      </c>
    </row>
    <row r="211" spans="2:3" x14ac:dyDescent="0.3">
      <c r="B211" s="26" t="s">
        <v>429</v>
      </c>
      <c r="C211" s="53" t="e">
        <f>C207*C210/C21</f>
        <v>#DIV/0!</v>
      </c>
    </row>
    <row r="212" spans="2:3" x14ac:dyDescent="0.3">
      <c r="B212" s="26" t="s">
        <v>430</v>
      </c>
      <c r="C212" s="48" t="e">
        <f>C207*C209/C20*365</f>
        <v>#DIV/0!</v>
      </c>
    </row>
    <row r="213" spans="2:3" x14ac:dyDescent="0.3">
      <c r="B213" s="20"/>
    </row>
    <row r="214" spans="2:3" x14ac:dyDescent="0.3">
      <c r="B214" s="25" t="s">
        <v>431</v>
      </c>
      <c r="C214" s="32">
        <f>SUM(C207,C202,C190,C181,C165,C154)</f>
        <v>0</v>
      </c>
    </row>
    <row r="215" spans="2:3" x14ac:dyDescent="0.3">
      <c r="B215" s="25" t="s">
        <v>432</v>
      </c>
      <c r="C215" s="46" t="e">
        <f>C214/C$61</f>
        <v>#DIV/0!</v>
      </c>
    </row>
    <row r="216" spans="2:3" x14ac:dyDescent="0.3">
      <c r="B216" s="20"/>
    </row>
    <row r="217" spans="2:3" x14ac:dyDescent="0.3">
      <c r="B217" s="25" t="s">
        <v>433</v>
      </c>
      <c r="C217" s="32">
        <f>C139-C214</f>
        <v>0</v>
      </c>
    </row>
    <row r="218" spans="2:3" x14ac:dyDescent="0.3">
      <c r="B218" s="25" t="s">
        <v>434</v>
      </c>
      <c r="C218" s="46" t="e">
        <f>C217/C$61</f>
        <v>#DIV/0!</v>
      </c>
    </row>
    <row r="219" spans="2:3" x14ac:dyDescent="0.3">
      <c r="B219" s="20"/>
    </row>
    <row r="220" spans="2:3" x14ac:dyDescent="0.3">
      <c r="B220" s="26" t="s">
        <v>435</v>
      </c>
    </row>
    <row r="221" spans="2:3" x14ac:dyDescent="0.3">
      <c r="B221" s="41" t="s">
        <v>436</v>
      </c>
      <c r="C221" s="27">
        <f>COA!C25-'KHP Model Accounts'!C222</f>
        <v>0</v>
      </c>
    </row>
    <row r="222" spans="2:3" x14ac:dyDescent="0.3">
      <c r="B222" s="41" t="s">
        <v>437</v>
      </c>
      <c r="C222" s="54">
        <f>COA!C264</f>
        <v>0</v>
      </c>
    </row>
    <row r="223" spans="2:3" x14ac:dyDescent="0.3">
      <c r="B223" s="26" t="s">
        <v>438</v>
      </c>
      <c r="C223" s="39">
        <f>SUM(C221:C222)</f>
        <v>0</v>
      </c>
    </row>
    <row r="224" spans="2:3" x14ac:dyDescent="0.3">
      <c r="B224" s="20"/>
    </row>
    <row r="225" spans="2:3" x14ac:dyDescent="0.3">
      <c r="B225" s="25" t="s">
        <v>439</v>
      </c>
      <c r="C225" s="32">
        <f>C217-C223</f>
        <v>0</v>
      </c>
    </row>
    <row r="226" spans="2:3" x14ac:dyDescent="0.3">
      <c r="B226" s="25" t="s">
        <v>440</v>
      </c>
      <c r="C226" s="46" t="e">
        <f>C225/C61</f>
        <v>#DIV/0!</v>
      </c>
    </row>
    <row r="227" spans="2:3" x14ac:dyDescent="0.3">
      <c r="B227" s="20"/>
    </row>
    <row r="228" spans="2:3" x14ac:dyDescent="0.3">
      <c r="B228" s="26" t="s">
        <v>441</v>
      </c>
    </row>
    <row r="229" spans="2:3" x14ac:dyDescent="0.3">
      <c r="B229" s="41" t="s">
        <v>442</v>
      </c>
      <c r="C229" s="27">
        <f>COA!C27</f>
        <v>0</v>
      </c>
    </row>
    <row r="230" spans="2:3" x14ac:dyDescent="0.3">
      <c r="B230" s="41" t="s">
        <v>443</v>
      </c>
      <c r="C230" s="27">
        <f>COA!C28</f>
        <v>0</v>
      </c>
    </row>
    <row r="231" spans="2:3" x14ac:dyDescent="0.3">
      <c r="B231" s="41" t="s">
        <v>444</v>
      </c>
      <c r="C231" s="27">
        <f>COA!C29</f>
        <v>0</v>
      </c>
    </row>
    <row r="232" spans="2:3" x14ac:dyDescent="0.3">
      <c r="B232" s="41" t="s">
        <v>445</v>
      </c>
      <c r="C232" s="28">
        <f>SUM(C233:C234)</f>
        <v>0</v>
      </c>
    </row>
    <row r="233" spans="2:3" x14ac:dyDescent="0.3">
      <c r="B233" s="29" t="s">
        <v>446</v>
      </c>
      <c r="C233" s="27">
        <f>COA!C30-'KHP Model Accounts'!C234</f>
        <v>0</v>
      </c>
    </row>
    <row r="234" spans="2:3" x14ac:dyDescent="0.3">
      <c r="B234" s="29" t="s">
        <v>447</v>
      </c>
      <c r="C234" s="27">
        <f>COA!C270</f>
        <v>0</v>
      </c>
    </row>
    <row r="235" spans="2:3" x14ac:dyDescent="0.3">
      <c r="B235" s="41" t="s">
        <v>448</v>
      </c>
      <c r="C235" s="54">
        <f>COA!C31</f>
        <v>0</v>
      </c>
    </row>
    <row r="236" spans="2:3" x14ac:dyDescent="0.3">
      <c r="B236" s="26" t="s">
        <v>449</v>
      </c>
      <c r="C236" s="28">
        <f>SUM(C229:C232,C235)</f>
        <v>0</v>
      </c>
    </row>
    <row r="237" spans="2:3" x14ac:dyDescent="0.3">
      <c r="B237" s="20"/>
    </row>
    <row r="238" spans="2:3" x14ac:dyDescent="0.3">
      <c r="B238" s="25" t="s">
        <v>450</v>
      </c>
      <c r="C238" s="32">
        <f>C225-C236</f>
        <v>0</v>
      </c>
    </row>
    <row r="239" spans="2:3" x14ac:dyDescent="0.3">
      <c r="B239" s="25" t="s">
        <v>451</v>
      </c>
      <c r="C239" s="46" t="e">
        <f>C238/C$61</f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 Notes</vt:lpstr>
      <vt:lpstr>COA</vt:lpstr>
      <vt:lpstr>KHP Model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Hyun Lee</cp:lastModifiedBy>
  <dcterms:modified xsi:type="dcterms:W3CDTF">2026-09-06T19:33:40Z</dcterms:modified>
</cp:coreProperties>
</file>