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1fbfca4cf47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n Notes" sheetId="1" r:id="Rde12f802a0944018"/>
    <x:sheet xmlns:r="http://schemas.openxmlformats.org/officeDocument/2006/relationships" name="COA" sheetId="2" r:id="Rd8c579fb6bc74e07"/>
    <x:sheet xmlns:r="http://schemas.openxmlformats.org/officeDocument/2006/relationships" name="KHP Model Accounts" sheetId="3" r:id="Rf3ca7b3d39064b1d"/>
  </x:sheets>
</x:workbook>
</file>

<file path=xl/sharedStrings.xml><?xml version="1.0" encoding="utf-8"?>
<x:sst xmlns:x="http://schemas.openxmlformats.org/spreadsheetml/2006/main">
  <x:si>
    <x:t xml:space="preserve">RUN NOTES</x:t>
  </x:si>
  <x:si>
    <x:t xml:space="preserve">Source file</x:t>
  </x:si>
  <x:si>
    <x:t xml:space="preserve">Periods</x:t>
  </x:si>
  <x:si>
    <x:t xml:space="preserve">Status</x:t>
  </x:si>
  <x:si>
    <x:t xml:space="preserve">Accounts mapped</x:t>
  </x:si>
  <x:si>
    <x:t xml:space="preserve">Calculation policy</x:t>
  </x:si>
  <x:si>
    <x:t xml:space="preserve">Notes</x:t>
  </x:si>
  <x:si>
    <x:t xml:space="preserve">COA_ID</x:t>
  </x:si>
  <x:si>
    <x:t xml:space="preserve">MAPPED LABELS</x:t>
  </x:si>
  <x:si>
    <x:t xml:space="preserve">MODEL FEEDBACK</x:t>
  </x:si>
  <x:si>
    <x:t xml:space="preserve">VENUE NAME</x:t>
  </x:si>
  <x:si>
    <x:t xml:space="preserve">S12.rooms_available</x:t>
  </x:si>
  <x:si>
    <x:t xml:space="preserve">S12.rooms_sold</x:t>
  </x:si>
  <x:si>
    <x:t xml:space="preserve">S12.occupancy</x:t>
  </x:si>
  <x:si>
    <x:t xml:space="preserve">S12.adr</x:t>
  </x:si>
  <x:si>
    <x:t xml:space="preserve">S12.revpar</x:t>
  </x:si>
  <x:si>
    <x:t xml:space="preserve">S12.total_rooms_revenue</x:t>
  </x:si>
  <x:si>
    <x:t xml:space="preserve">S12.total_food_and_beverage_revenue</x:t>
  </x:si>
  <x:si>
    <x:t xml:space="preserve">S12.total_other_operated_departments_revenue</x:t>
  </x:si>
  <x:si>
    <x:t xml:space="preserve">S12.total_miscellaneous_income</x:t>
  </x:si>
  <x:si>
    <x:t xml:space="preserve">S12.total_revenue</x:t>
  </x:si>
  <x:si>
    <x:t xml:space="preserve">S12.total_rooms_expenses</x:t>
  </x:si>
  <x:si>
    <x:t xml:space="preserve">S12.total_food_and_beverage_expenses</x:t>
  </x:si>
  <x:si>
    <x:t xml:space="preserve">S12.total_other_operated_departments_expenses</x:t>
  </x:si>
  <x:si>
    <x:t xml:space="preserve">S12.total_departmental_expenses</x:t>
  </x:si>
  <x:si>
    <x:t xml:space="preserve">S12.departmental_profit</x:t>
  </x:si>
  <x:si>
    <x:t xml:space="preserve">S12.total_administrative_and_general_expenses</x:t>
  </x:si>
  <x:si>
    <x:t xml:space="preserve">S12.total_information_and_telecommunications_systems_expenses</x:t>
  </x:si>
  <x:si>
    <x:t xml:space="preserve">S12.total_sales_and_marketing_expenses</x:t>
  </x:si>
  <x:si>
    <x:t xml:space="preserve">S12.total_property_operation_and_maintenance_expenses</x:t>
  </x:si>
  <x:si>
    <x:t xml:space="preserve">S12.total_utilities_expenses</x:t>
  </x:si>
  <x:si>
    <x:t xml:space="preserve">S12.total_undistributed_expenses</x:t>
  </x:si>
  <x:si>
    <x:t xml:space="preserve">S12.gop</x:t>
  </x:si>
  <x:si>
    <x:t xml:space="preserve">S12.total_management_fees</x:t>
  </x:si>
  <x:si>
    <x:t xml:space="preserve">S12.income_after_management_fees</x:t>
  </x:si>
  <x:si>
    <x:t xml:space="preserve">S12.non_operating_income</x:t>
  </x:si>
  <x:si>
    <x:t xml:space="preserve">S12.rent</x:t>
  </x:si>
  <x:si>
    <x:t xml:space="preserve">S12.property_and_other_taxes</x:t>
  </x:si>
  <x:si>
    <x:t xml:space="preserve">S12.insurance</x:t>
  </x:si>
  <x:si>
    <x:t xml:space="preserve">S12.other</x:t>
  </x:si>
  <x:si>
    <x:t xml:space="preserve">S12.total_non_operating_income_and_expenses</x:t>
  </x:si>
  <x:si>
    <x:t xml:space="preserve">S12.ebitda</x:t>
  </x:si>
  <x:si>
    <x:t xml:space="preserve">S12.ffe_reserve</x:t>
  </x:si>
  <x:si>
    <x:t xml:space="preserve">S12.noi</x:t>
  </x:si>
  <x:si>
    <x:t xml:space="preserve">S1.discount</x:t>
  </x:si>
  <x:si>
    <x:t xml:space="preserve">S1.negotiated</x:t>
  </x:si>
  <x:si>
    <x:t xml:space="preserve">S1.qualified</x:t>
  </x:si>
  <x:si>
    <x:t xml:space="preserve">S1.retail</x:t>
  </x:si>
  <x:si>
    <x:t xml:space="preserve">S1.wholesale</x:t>
  </x:si>
  <x:si>
    <x:t xml:space="preserve">S1.transient_rooms_revenue</x:t>
  </x:si>
  <x:si>
    <x:t xml:space="preserve">S1.association_convention</x:t>
  </x:si>
  <x:si>
    <x:t xml:space="preserve">S1.corporate</x:t>
  </x:si>
  <x:si>
    <x:t xml:space="preserve">S1.government</x:t>
  </x:si>
  <x:si>
    <x:t xml:space="preserve">S1.smerf</x:t>
  </x:si>
  <x:si>
    <x:t xml:space="preserve">S1.tour_wholesalers</x:t>
  </x:si>
  <x:si>
    <x:t xml:space="preserve">S1.group_rooms_revenue</x:t>
  </x:si>
  <x:si>
    <x:t xml:space="preserve">S1.contract_rooms_revenue</x:t>
  </x:si>
  <x:si>
    <x:t xml:space="preserve">S1.other_rooms_revenue</x:t>
  </x:si>
  <x:si>
    <x:t xml:space="preserve">S1.allowances_and_breakage</x:t>
  </x:si>
  <x:si>
    <x:t xml:space="preserve">S1.total_rooms_revenue</x:t>
  </x:si>
  <x:si>
    <x:t xml:space="preserve">S1.management</x:t>
  </x:si>
  <x:si>
    <x:t xml:space="preserve">S1.complimentary_f_b</x:t>
  </x:si>
  <x:si>
    <x:t xml:space="preserve">S1.front_office</x:t>
  </x:si>
  <x:si>
    <x:t xml:space="preserve">S1.guest_services</x:t>
  </x:si>
  <x:si>
    <x:t xml:space="preserve">S1.housekeeping</x:t>
  </x:si>
  <x:si>
    <x:t xml:space="preserve">S1.laundry</x:t>
  </x:si>
  <x:si>
    <x:t xml:space="preserve">S1.reservations_labor</x:t>
  </x:si>
  <x:si>
    <x:t xml:space="preserve">S1.transportation</x:t>
  </x:si>
  <x:si>
    <x:t xml:space="preserve">S1.nonmanagement</x:t>
  </x:si>
  <x:si>
    <x:t xml:space="preserve">S1.salaries_and_wages</x:t>
  </x:si>
  <x:si>
    <x:t xml:space="preserve">S1.bonuses_and_incentives</x:t>
  </x:si>
  <x:si>
    <x:t xml:space="preserve">S1.contracted_leased_and_outsourced_labor</x:t>
  </x:si>
  <x:si>
    <x:t xml:space="preserve">S1.employee_benefits_health_insurance_workers_comp</x:t>
  </x:si>
  <x:si>
    <x:t xml:space="preserve">S1.payroll_taxes</x:t>
  </x:si>
  <x:si>
    <x:t xml:space="preserve">S1.supplemental_pay</x:t>
  </x:si>
  <x:si>
    <x:t xml:space="preserve">S1.total_payroll_related_expenses</x:t>
  </x:si>
  <x:si>
    <x:t xml:space="preserve">S1.labor_costs_and_related_expenses</x:t>
  </x:si>
  <x:si>
    <x:t xml:space="preserve">S1.commissions</x:t>
  </x:si>
  <x:si>
    <x:t xml:space="preserve">S1.complimentary_fnb_gifts_services</x:t>
  </x:si>
  <x:si>
    <x:t xml:space="preserve">S1.complimentary_in_room_entertainment_cable_tv</x:t>
  </x:si>
  <x:si>
    <x:t xml:space="preserve">S1.corporate_office_reimbursables</x:t>
  </x:si>
  <x:si>
    <x:t xml:space="preserve">S1.dues_and_subscriptions</x:t>
  </x:si>
  <x:si>
    <x:t xml:space="preserve">S1.contract_services</x:t>
  </x:si>
  <x:si>
    <x:t xml:space="preserve">S1.guest_cleaning_operating_supplies</x:t>
  </x:si>
  <x:si>
    <x:t xml:space="preserve">S1.laundry_and_dry_cleaning</x:t>
  </x:si>
  <x:si>
    <x:t xml:space="preserve">S1.licenses_and_permits</x:t>
  </x:si>
  <x:si>
    <x:t xml:space="preserve">S1.linen</x:t>
  </x:si>
  <x:si>
    <x:t xml:space="preserve">S1.all_travel</x:t>
  </x:si>
  <x:si>
    <x:t xml:space="preserve">S1.reservations_opex</x:t>
  </x:si>
  <x:si>
    <x:t xml:space="preserve">S1.rooms_all_other</x:t>
  </x:si>
  <x:si>
    <x:t xml:space="preserve">S1.other_expenses</x:t>
  </x:si>
  <x:si>
    <x:t xml:space="preserve">S1.total_rooms_expenses</x:t>
  </x:si>
  <x:si>
    <x:t xml:space="preserve">S2.venue1_food_revenue</x:t>
  </x:si>
  <x:si>
    <x:t xml:space="preserve">S2.venue2_food_revenue</x:t>
  </x:si>
  <x:si>
    <x:t xml:space="preserve">S2.venue3_food_revenue</x:t>
  </x:si>
  <x:si>
    <x:t xml:space="preserve">S2.venue4_food_revenue</x:t>
  </x:si>
  <x:si>
    <x:t xml:space="preserve">S2.venue5_food_revenue</x:t>
  </x:si>
  <x:si>
    <x:t xml:space="preserve">S2.venue6_food_revenue</x:t>
  </x:si>
  <x:si>
    <x:t xml:space="preserve">S2.venue7_food_revenue</x:t>
  </x:si>
  <x:si>
    <x:t xml:space="preserve">S2.venue8_food_revenue</x:t>
  </x:si>
  <x:si>
    <x:t xml:space="preserve">S2.venue9_food_revenue</x:t>
  </x:si>
  <x:si>
    <x:t xml:space="preserve">S2.venue10_food_revenue</x:t>
  </x:si>
  <x:si>
    <x:t xml:space="preserve">S2.banquet_conference_catering_food_revenue</x:t>
  </x:si>
  <x:si>
    <x:t xml:space="preserve">S2.in_room_dining_food_revenue</x:t>
  </x:si>
  <x:si>
    <x:t xml:space="preserve">S2.food_allowances</x:t>
  </x:si>
  <x:si>
    <x:t xml:space="preserve">S2.food_other</x:t>
  </x:si>
  <x:si>
    <x:t xml:space="preserve">S2.food_revenue</x:t>
  </x:si>
  <x:si>
    <x:t xml:space="preserve">S2.venue1_beverage_revenue</x:t>
  </x:si>
  <x:si>
    <x:t xml:space="preserve">S2.venue2_beverage_revenue</x:t>
  </x:si>
  <x:si>
    <x:t xml:space="preserve">S2.venue3_beverage_revenue</x:t>
  </x:si>
  <x:si>
    <x:t xml:space="preserve">S2.venue4_beverage_revenue</x:t>
  </x:si>
  <x:si>
    <x:t xml:space="preserve">S2.venue5_beverage_revenue</x:t>
  </x:si>
  <x:si>
    <x:t xml:space="preserve">S2.venue6_beverage_revenue</x:t>
  </x:si>
  <x:si>
    <x:t xml:space="preserve">S2.venue7_beverage_revenue</x:t>
  </x:si>
  <x:si>
    <x:t xml:space="preserve">S2.venue8_beverage_revenue</x:t>
  </x:si>
  <x:si>
    <x:t xml:space="preserve">S2.venue9_beverage_revenue</x:t>
  </x:si>
  <x:si>
    <x:t xml:space="preserve">S2.venue10_beverage_revenue</x:t>
  </x:si>
  <x:si>
    <x:t xml:space="preserve">S2.banquet_conference_catering_beverage_revenue</x:t>
  </x:si>
  <x:si>
    <x:t xml:space="preserve">S2.in_room_dining_beverage_revenue</x:t>
  </x:si>
  <x:si>
    <x:t xml:space="preserve">S2.beverage_allowances</x:t>
  </x:si>
  <x:si>
    <x:t xml:space="preserve">S2.beverage_other</x:t>
  </x:si>
  <x:si>
    <x:t xml:space="preserve">S2.beverage_revenue</x:t>
  </x:si>
  <x:si>
    <x:t xml:space="preserve">S2.food_and_beverage_revenue</x:t>
  </x:si>
  <x:si>
    <x:t xml:space="preserve">S2.audiovisual</x:t>
  </x:si>
  <x:si>
    <x:t xml:space="preserve">S2.function_room_rental_and_setup_charges</x:t>
  </x:si>
  <x:si>
    <x:t xml:space="preserve">S2.surcharges_service_charges_other</x:t>
  </x:si>
  <x:si>
    <x:t xml:space="preserve">S2.other_revenue</x:t>
  </x:si>
  <x:si>
    <x:t xml:space="preserve">S2.total_food_and_beverage_revenue</x:t>
  </x:si>
  <x:si>
    <x:t xml:space="preserve">S2.cost_of_food_sales</x:t>
  </x:si>
  <x:si>
    <x:t xml:space="preserve">S2.cost_of_beverage_sales</x:t>
  </x:si>
  <x:si>
    <x:t xml:space="preserve">S2.cost_of_food_and_beverage_sales</x:t>
  </x:si>
  <x:si>
    <x:t xml:space="preserve">S2.audiovisual_cost</x:t>
  </x:si>
  <x:si>
    <x:t xml:space="preserve">S2.miscellaneous_cost</x:t>
  </x:si>
  <x:si>
    <x:t xml:space="preserve">S2.cost_of_other_revenue</x:t>
  </x:si>
  <x:si>
    <x:t xml:space="preserve">S2.total_cost_of_sales_and_other_revenue</x:t>
  </x:si>
  <x:si>
    <x:t xml:space="preserve">S2.management</x:t>
  </x:si>
  <x:si>
    <x:t xml:space="preserve">S2.service_management</x:t>
  </x:si>
  <x:si>
    <x:t xml:space="preserve">S2.kitchen_management</x:t>
  </x:si>
  <x:si>
    <x:t xml:space="preserve">S2.nonmanagement</x:t>
  </x:si>
  <x:si>
    <x:t xml:space="preserve">S2.kitchen_nonmanagement</x:t>
  </x:si>
  <x:si>
    <x:t xml:space="preserve">S2.service_nonmanagement</x:t>
  </x:si>
  <x:si>
    <x:t xml:space="preserve">S2.salaries_and_wages</x:t>
  </x:si>
  <x:si>
    <x:t xml:space="preserve">S2.bonuses_and_incentives</x:t>
  </x:si>
  <x:si>
    <x:t xml:space="preserve">S2.contracted_leased_and_outsourced_labor</x:t>
  </x:si>
  <x:si>
    <x:t xml:space="preserve">S2.service_charge_distribution</x:t>
  </x:si>
  <x:si>
    <x:t xml:space="preserve">S2.employee_benefits_health_insurance_workers_comp</x:t>
  </x:si>
  <x:si>
    <x:t xml:space="preserve">S2.payroll_taxes</x:t>
  </x:si>
  <x:si>
    <x:t xml:space="preserve">S2.supplemental_pay</x:t>
  </x:si>
  <x:si>
    <x:t xml:space="preserve">S2.total_payroll_related_expenses</x:t>
  </x:si>
  <x:si>
    <x:t xml:space="preserve">S2.labor_costs_and_related_expenses</x:t>
  </x:si>
  <x:si>
    <x:t xml:space="preserve">S2.other_expenses</x:t>
  </x:si>
  <x:si>
    <x:t xml:space="preserve">S2.total_food_and_beverage_expenses</x:t>
  </x:si>
  <x:si>
    <x:t xml:space="preserve">S3.total_parking_revenue</x:t>
  </x:si>
  <x:si>
    <x:t xml:space="preserve">S3.parking_cogs</x:t>
  </x:si>
  <x:si>
    <x:t xml:space="preserve">S3.parking_payroll</x:t>
  </x:si>
  <x:si>
    <x:t xml:space="preserve">S3.parking_opex</x:t>
  </x:si>
  <x:si>
    <x:t xml:space="preserve">S3.total_parking_expenses</x:t>
  </x:si>
  <x:si>
    <x:t xml:space="preserve">S3.spa_merchandise_sales_revenue</x:t>
  </x:si>
  <x:si>
    <x:t xml:space="preserve">S3.massage_and_body_treatment_revenue</x:t>
  </x:si>
  <x:si>
    <x:t xml:space="preserve">S3.spa</x:t>
  </x:si>
  <x:si>
    <x:t xml:space="preserve">S3.spa_cogs</x:t>
  </x:si>
  <x:si>
    <x:t xml:space="preserve">S3.spa_payroll</x:t>
  </x:si>
  <x:si>
    <x:t xml:space="preserve">S3.spa_opex</x:t>
  </x:si>
  <x:si>
    <x:t xml:space="preserve">S3.spa_expenses</x:t>
  </x:si>
  <x:si>
    <x:t xml:space="preserve">S3.retail_revenue</x:t>
  </x:si>
  <x:si>
    <x:t xml:space="preserve">S3.retail_cogs</x:t>
  </x:si>
  <x:si>
    <x:t xml:space="preserve">S3.retail_payroll</x:t>
  </x:si>
  <x:si>
    <x:t xml:space="preserve">S3.retail_opex</x:t>
  </x:si>
  <x:si>
    <x:t xml:space="preserve">S3.total_retail_expenses</x:t>
  </x:si>
  <x:si>
    <x:t xml:space="preserve">S3.recreation_revenue</x:t>
  </x:si>
  <x:si>
    <x:t xml:space="preserve">S3.recreation_expenses</x:t>
  </x:si>
  <x:si>
    <x:t xml:space="preserve">S3.minibar_revenue</x:t>
  </x:si>
  <x:si>
    <x:t xml:space="preserve">S3.minibar_expenses</x:t>
  </x:si>
  <x:si>
    <x:t xml:space="preserve">S3.total_golf_course_and_pro_shop_revenue</x:t>
  </x:si>
  <x:si>
    <x:t xml:space="preserve">S3.total_golf_course_and_pro_shop_expenses</x:t>
  </x:si>
  <x:si>
    <x:t xml:space="preserve">S3.other_department_revenue</x:t>
  </x:si>
  <x:si>
    <x:t xml:space="preserve">S3.other_department_expenses</x:t>
  </x:si>
  <x:si>
    <x:t xml:space="preserve">S3.total_other_operated_departments_revenue</x:t>
  </x:si>
  <x:si>
    <x:t xml:space="preserve">S3.total_other_operated_departments_expenses</x:t>
  </x:si>
  <x:si>
    <x:t xml:space="preserve">S4.attrition_and_cancellation_fees</x:t>
  </x:si>
  <x:si>
    <x:t xml:space="preserve">S4.destination_resort_urban_fees</x:t>
  </x:si>
  <x:si>
    <x:t xml:space="preserve">S4.space_rental_and_concessions</x:t>
  </x:si>
  <x:si>
    <x:t xml:space="preserve">S4.other_misc_income</x:t>
  </x:si>
  <x:si>
    <x:t xml:space="preserve">S4.total_miscellaneous_income</x:t>
  </x:si>
  <x:si>
    <x:t xml:space="preserve">S5.salaries_and_wages</x:t>
  </x:si>
  <x:si>
    <x:t xml:space="preserve">S5.bonuses_and_incentives</x:t>
  </x:si>
  <x:si>
    <x:t xml:space="preserve">S5.contracted_leased_and_outsourced_labor</x:t>
  </x:si>
  <x:si>
    <x:t xml:space="preserve">S5.employee_benefits_health_insurance_workers_comp</x:t>
  </x:si>
  <x:si>
    <x:t xml:space="preserve">S5.supplemental_pay</x:t>
  </x:si>
  <x:si>
    <x:t xml:space="preserve">S5.payroll_taxes</x:t>
  </x:si>
  <x:si>
    <x:t xml:space="preserve">S5.total_payroll_related_expenses</x:t>
  </x:si>
  <x:si>
    <x:t xml:space="preserve">S5.labor_costs_and_related_expenses</x:t>
  </x:si>
  <x:si>
    <x:t xml:space="preserve">S5.legal_services_and_professional_fees</x:t>
  </x:si>
  <x:si>
    <x:t xml:space="preserve">S5.accounting_charges</x:t>
  </x:si>
  <x:si>
    <x:t xml:space="preserve">S5.payroll_services</x:t>
  </x:si>
  <x:si>
    <x:t xml:space="preserve">S5.contract_services</x:t>
  </x:si>
  <x:si>
    <x:t xml:space="preserve">S5.dues_and_subscriptions</x:t>
  </x:si>
  <x:si>
    <x:t xml:space="preserve">S5.corporate_office_reimbursables</x:t>
  </x:si>
  <x:si>
    <x:t xml:space="preserve">S5.credit_card_commissions</x:t>
  </x:si>
  <x:si>
    <x:t xml:space="preserve">S5.human_resources</x:t>
  </x:si>
  <x:si>
    <x:t xml:space="preserve">S5.security</x:t>
  </x:si>
  <x:si>
    <x:t xml:space="preserve">S5.ag_all_other</x:t>
  </x:si>
  <x:si>
    <x:t xml:space="preserve">S5.other_expenses</x:t>
  </x:si>
  <x:si>
    <x:t xml:space="preserve">S5.total_administrative_and_general_expenses</x:t>
  </x:si>
  <x:si>
    <x:t xml:space="preserve">S6.cost_of_cell_phones</x:t>
  </x:si>
  <x:si>
    <x:t xml:space="preserve">S6.cost_of_internet</x:t>
  </x:si>
  <x:si>
    <x:t xml:space="preserve">S6.complimentary_in_room_entertainment_cable_tv</x:t>
  </x:si>
  <x:si>
    <x:t xml:space="preserve">S6.other_cost_of_services</x:t>
  </x:si>
  <x:si>
    <x:t xml:space="preserve">S6.cost_of_services</x:t>
  </x:si>
  <x:si>
    <x:t xml:space="preserve">S6.salaries_and_wages</x:t>
  </x:si>
  <x:si>
    <x:t xml:space="preserve">S6.bonuses_and_incentives</x:t>
  </x:si>
  <x:si>
    <x:t xml:space="preserve">S6.contracted_leased_and_outsourced_labor</x:t>
  </x:si>
  <x:si>
    <x:t xml:space="preserve">S6.employee_benefits_health_insurance_workers_comp</x:t>
  </x:si>
  <x:si>
    <x:t xml:space="preserve">S6.supplemental_pay</x:t>
  </x:si>
  <x:si>
    <x:t xml:space="preserve">S6.payroll_taxes</x:t>
  </x:si>
  <x:si>
    <x:t xml:space="preserve">S6.payroll_related_expenses</x:t>
  </x:si>
  <x:si>
    <x:t xml:space="preserve">S6.labor_costs_and_related_expenses</x:t>
  </x:si>
  <x:si>
    <x:t xml:space="preserve">S6.system_expenses</x:t>
  </x:si>
  <x:si>
    <x:t xml:space="preserve">S6.brand_program_fees_and_corporate_office_reimbursables</x:t>
  </x:si>
  <x:si>
    <x:t xml:space="preserve">S6.all_other_expenses</x:t>
  </x:si>
  <x:si>
    <x:t xml:space="preserve">S6.other_expenses</x:t>
  </x:si>
  <x:si>
    <x:t xml:space="preserve">S6.total_information_and_telecommunications_systems_expenses</x:t>
  </x:si>
  <x:si>
    <x:t xml:space="preserve">S7.salaries_and_wages</x:t>
  </x:si>
  <x:si>
    <x:t xml:space="preserve">S7.bonuses_and_incentives</x:t>
  </x:si>
  <x:si>
    <x:t xml:space="preserve">S7.contracted_leased_and_outsourced_labor</x:t>
  </x:si>
  <x:si>
    <x:t xml:space="preserve">S7.employee_benefits_health_insurance_workers_comp</x:t>
  </x:si>
  <x:si>
    <x:t xml:space="preserve">S7.supplemental_pay</x:t>
  </x:si>
  <x:si>
    <x:t xml:space="preserve">S7.payroll_taxes</x:t>
  </x:si>
  <x:si>
    <x:t xml:space="preserve">S7.payroll_related_expenses</x:t>
  </x:si>
  <x:si>
    <x:t xml:space="preserve">S7.labor_costs_and_related_expenses</x:t>
  </x:si>
  <x:si>
    <x:t xml:space="preserve">S7.agency_fees</x:t>
  </x:si>
  <x:si>
    <x:t xml:space="preserve">S7.outside_services_market_research</x:t>
  </x:si>
  <x:si>
    <x:t xml:space="preserve">S7.website</x:t>
  </x:si>
  <x:si>
    <x:t xml:space="preserve">S7.photography</x:t>
  </x:si>
  <x:si>
    <x:t xml:space="preserve">S7.trade_shows_and_travel</x:t>
  </x:si>
  <x:si>
    <x:t xml:space="preserve">S7.promotion</x:t>
  </x:si>
  <x:si>
    <x:t xml:space="preserve">S7.corporate_office_reimbursables</x:t>
  </x:si>
  <x:si>
    <x:t xml:space="preserve">S7.contract_services</x:t>
  </x:si>
  <x:si>
    <x:t xml:space="preserve">S7.media_ecommerce_digital</x:t>
  </x:si>
  <x:si>
    <x:t xml:space="preserve">S7.marketing_fees_revenue_fees</x:t>
  </x:si>
  <x:si>
    <x:t xml:space="preserve">S7.franchise_and_affiliation_fees_royalties</x:t>
  </x:si>
  <x:si>
    <x:t xml:space="preserve">S7.franchise_and_affiliation_marketing</x:t>
  </x:si>
  <x:si>
    <x:t xml:space="preserve">S7.dues_and_subscriptions</x:t>
  </x:si>
  <x:si>
    <x:t xml:space="preserve">S7.loyalty_programs</x:t>
  </x:si>
  <x:si>
    <x:t xml:space="preserve">S7.sm_all_other</x:t>
  </x:si>
  <x:si>
    <x:t xml:space="preserve">S7.other_expenses</x:t>
  </x:si>
  <x:si>
    <x:t xml:space="preserve">S7.total_sales_and_marketing_expenses</x:t>
  </x:si>
  <x:si>
    <x:t xml:space="preserve">S8.salaries_and_wages</x:t>
  </x:si>
  <x:si>
    <x:t xml:space="preserve">S8.bonuses_and_incentives</x:t>
  </x:si>
  <x:si>
    <x:t xml:space="preserve">S8.contracted_leased_and_outsourced_labor</x:t>
  </x:si>
  <x:si>
    <x:t xml:space="preserve">S8.employee_benefits_health_insurance_workers_comp</x:t>
  </x:si>
  <x:si>
    <x:t xml:space="preserve">S8.supplemental_pay</x:t>
  </x:si>
  <x:si>
    <x:t xml:space="preserve">S8.payroll_taxes</x:t>
  </x:si>
  <x:si>
    <x:t xml:space="preserve">S8.payroll_related_expenses</x:t>
  </x:si>
  <x:si>
    <x:t xml:space="preserve">S8.labor_costs_and_related_expenses</x:t>
  </x:si>
  <x:si>
    <x:t xml:space="preserve">S8.contract_services</x:t>
  </x:si>
  <x:si>
    <x:t xml:space="preserve">S8.grounds_maintenance_and_landscaping</x:t>
  </x:si>
  <x:si>
    <x:t xml:space="preserve">S8.waste_removal</x:t>
  </x:si>
  <x:si>
    <x:t xml:space="preserve">S8.hvac</x:t>
  </x:si>
  <x:si>
    <x:t xml:space="preserve">S8.elevators</x:t>
  </x:si>
  <x:si>
    <x:t xml:space="preserve">S8.building</x:t>
  </x:si>
  <x:si>
    <x:t xml:space="preserve">S8.pom_all_other</x:t>
  </x:si>
  <x:si>
    <x:t xml:space="preserve">S8.other_expenses</x:t>
  </x:si>
  <x:si>
    <x:t xml:space="preserve">S8.total_property_operation_and_maintenance_expenses</x:t>
  </x:si>
  <x:si>
    <x:t xml:space="preserve">S9.energy</x:t>
  </x:si>
  <x:si>
    <x:t xml:space="preserve">S9.water_and_sewer</x:t>
  </x:si>
  <x:si>
    <x:t xml:space="preserve">S9.waste_removal</x:t>
  </x:si>
  <x:si>
    <x:t xml:space="preserve">S9.utilities_all_other</x:t>
  </x:si>
  <x:si>
    <x:t xml:space="preserve">S9.total_utilities_expenses</x:t>
  </x:si>
  <x:si>
    <x:t xml:space="preserve">S10.base_fee</x:t>
  </x:si>
  <x:si>
    <x:t xml:space="preserve">S10.incentive_and_other_fees</x:t>
  </x:si>
  <x:si>
    <x:t xml:space="preserve">S10.total_management_fees</x:t>
  </x:si>
  <x:si>
    <x:t xml:space="preserve">S11.rent</x:t>
  </x:si>
  <x:si>
    <x:t xml:space="preserve">S11.property_and_other_taxes</x:t>
  </x:si>
  <x:si>
    <x:t xml:space="preserve">S11.insurance</x:t>
  </x:si>
  <x:si>
    <x:t xml:space="preserve">S11.property_insurance</x:t>
  </x:si>
  <x:si>
    <x:t xml:space="preserve">S11.general_liability_insurance</x:t>
  </x:si>
  <x:si>
    <x:t xml:space="preserve">S11.non_operating_income</x:t>
  </x:si>
  <x:si>
    <x:t xml:space="preserve">S11.other</x:t>
  </x:si>
  <x:si>
    <x:t xml:space="preserve">S11.total_non_operating_income_and_expenses</x:t>
  </x:si>
  <x:si>
    <x:t xml:space="preserve">KHP UNDERWRITING MODEL INPUTS</x:t>
  </x:si>
  <x:si>
    <x:t xml:space="preserve">Keys</x:t>
  </x:si>
  <x:si>
    <x:t xml:space="preserve">Rooms Available</x:t>
  </x:si>
  <x:si>
    <x:t xml:space="preserve">Rooms Sold</x:t>
  </x:si>
  <x:si>
    <x:t xml:space="preserve">Occupancy</x:t>
  </x:si>
  <x:si>
    <x:t xml:space="preserve">ADR</x:t>
  </x:si>
  <x:si>
    <x:t xml:space="preserve">RevPAR</x:t>
  </x:si>
  <x:si>
    <x:t xml:space="preserve">Total RevPAR</x:t>
  </x:si>
  <x:si>
    <x:t xml:space="preserve">GOPAR</x:t>
  </x:si>
  <x:si>
    <x:t xml:space="preserve">Revenue (POR)</x:t>
  </x:si>
  <x:si>
    <x:t xml:space="preserve">Rooms</x:t>
  </x:si>
  <x:si>
    <x:t xml:space="preserve">Food &amp; Beverage</x:t>
  </x:si>
  <x:si>
    <x:t xml:space="preserve">Mini Bar</x:t>
  </x:si>
  <x:si>
    <x:t xml:space="preserve">Room Service</x:t>
  </x:si>
  <x:si>
    <x:t xml:space="preserve">All other F&amp;B Revenue / F&amp;B Allowances</x:t>
  </x:si>
  <x:si>
    <x:t xml:space="preserve">Banquets</x:t>
  </x:si>
  <x:si>
    <x:t xml:space="preserve">Other F&amp;B Revenue</x:t>
  </x:si>
  <x:si>
    <x:t xml:space="preserve">Parking</x:t>
  </x:si>
  <x:si>
    <x:t xml:space="preserve">Spa</x:t>
  </x:si>
  <x:si>
    <x:t xml:space="preserve">Spa Services</x:t>
  </x:si>
  <x:si>
    <x:t xml:space="preserve">Spa Shop</x:t>
  </x:si>
  <x:si>
    <x:t xml:space="preserve">Retail Shop</x:t>
  </x:si>
  <x:si>
    <x:t xml:space="preserve">Other Operated</x:t>
  </x:si>
  <x:si>
    <x:t xml:space="preserve">Recreation</x:t>
  </x:si>
  <x:si>
    <x:t xml:space="preserve">Golf</x:t>
  </x:si>
  <x:si>
    <x:t xml:space="preserve">All Other OOD</x:t>
  </x:si>
  <x:si>
    <x:t xml:space="preserve">Miscellaneous Income</x:t>
  </x:si>
  <x:si>
    <x:t xml:space="preserve">Resort Fees</x:t>
  </x:si>
  <x:si>
    <x:t xml:space="preserve">Space Rental</x:t>
  </x:si>
  <x:si>
    <x:t xml:space="preserve">Other Misc. Income</x:t>
  </x:si>
  <x:si>
    <x:t xml:space="preserve">Total Revenue</x:t>
  </x:si>
  <x:si>
    <x:t xml:space="preserve">Total Revenue (POR)</x:t>
  </x:si>
  <x:si>
    <x:t xml:space="preserve">Departmental Expenses</x:t>
  </x:si>
  <x:si>
    <x:t xml:space="preserve">Salaries &amp; Wages (POR)</x:t>
  </x:si>
  <x:si>
    <x:t xml:space="preserve">Payroll Taxes &amp; Employee Benefits (% of S&amp;W)</x:t>
  </x:si>
  <x:si>
    <x:t xml:space="preserve">Total Rooms Payroll (POR)</x:t>
  </x:si>
  <x:si>
    <x:t xml:space="preserve">Travel Agent Commissions (% of Rms. Rev.)</x:t>
  </x:si>
  <x:si>
    <x:t xml:space="preserve">Reservation Expense (% of Rms. Rev.)</x:t>
  </x:si>
  <x:si>
    <x:t xml:space="preserve">Operating, Cleaning &amp; Guest Supplies (POR)</x:t>
  </x:si>
  <x:si>
    <x:t xml:space="preserve">Complimentary Gifts &amp; Services (POR)</x:t>
  </x:si>
  <x:si>
    <x:t xml:space="preserve">Laundry &amp; Dry Cleaning (POR)</x:t>
  </x:si>
  <x:si>
    <x:t xml:space="preserve">Other Rooms Expense (POR)</x:t>
  </x:si>
  <x:si>
    <x:t xml:space="preserve">Total Other Rooms Expense (POR)</x:t>
  </x:si>
  <x:si>
    <x:t xml:space="preserve">Total Rooms Expense</x:t>
  </x:si>
  <x:si>
    <x:t xml:space="preserve">Total Rooms Expense %</x:t>
  </x:si>
  <x:si>
    <x:t xml:space="preserve">Total Rooms Expense POR</x:t>
  </x:si>
  <x:si>
    <x:t xml:space="preserve">F&amp;B Consolidated COGS (%)</x:t>
  </x:si>
  <x:si>
    <x:t xml:space="preserve">F&amp;B Consolidated Payroll (%)</x:t>
  </x:si>
  <x:si>
    <x:t xml:space="preserve">F&amp;B Consolidated Op. Ex. (%)</x:t>
  </x:si>
  <x:si>
    <x:t xml:space="preserve">Mini Bar COGS (%)</x:t>
  </x:si>
  <x:si>
    <x:t xml:space="preserve">Mini Bar Payroll (%)</x:t>
  </x:si>
  <x:si>
    <x:t xml:space="preserve">Mini Bar Op. Ex. (%)</x:t>
  </x:si>
  <x:si>
    <x:t xml:space="preserve">Room Service COGS (%)</x:t>
  </x:si>
  <x:si>
    <x:t xml:space="preserve">Room Service Payroll (%)</x:t>
  </x:si>
  <x:si>
    <x:t xml:space="preserve">Room Service Op. Ex. (%)</x:t>
  </x:si>
  <x:si>
    <x:t xml:space="preserve">Outlet 1</x:t>
  </x:si>
  <x:si>
    <x:t xml:space="preserve">Outlet 1 COGS (%)</x:t>
  </x:si>
  <x:si>
    <x:t xml:space="preserve">Outlet 1 Payroll (%)</x:t>
  </x:si>
  <x:si>
    <x:t xml:space="preserve">Outlet 1 Op. Ex. (%)</x:t>
  </x:si>
  <x:si>
    <x:t xml:space="preserve">Outlet 2</x:t>
  </x:si>
  <x:si>
    <x:t xml:space="preserve">Outlet 2 COGS (%)</x:t>
  </x:si>
  <x:si>
    <x:t xml:space="preserve">Outlet 2 Payroll (%)</x:t>
  </x:si>
  <x:si>
    <x:t xml:space="preserve">Outlet 2 Op. Ex. (%)</x:t>
  </x:si>
  <x:si>
    <x:t xml:space="preserve">Outlet 3</x:t>
  </x:si>
  <x:si>
    <x:t xml:space="preserve">Outlet 3 COGS (%)</x:t>
  </x:si>
  <x:si>
    <x:t xml:space="preserve">Outlet 3 Payroll (%)</x:t>
  </x:si>
  <x:si>
    <x:t xml:space="preserve">Outlet 3 Op. Ex. (%)</x:t>
  </x:si>
  <x:si>
    <x:t xml:space="preserve">Outlet 4</x:t>
  </x:si>
  <x:si>
    <x:t xml:space="preserve">Outlet 4 COGS (%)</x:t>
  </x:si>
  <x:si>
    <x:t xml:space="preserve">Outlet 4 Payroll (%)</x:t>
  </x:si>
  <x:si>
    <x:t xml:space="preserve">Outlet 4 Op. Ex. (%)</x:t>
  </x:si>
  <x:si>
    <x:t xml:space="preserve">Outlet 5</x:t>
  </x:si>
  <x:si>
    <x:t xml:space="preserve">Outlet 5 COGS (%)</x:t>
  </x:si>
  <x:si>
    <x:t xml:space="preserve">Outlet 5 Payroll (%)</x:t>
  </x:si>
  <x:si>
    <x:t xml:space="preserve">Outlet 5 Op. Ex. (%)</x:t>
  </x:si>
  <x:si>
    <x:t xml:space="preserve">Banquets COGS (%)</x:t>
  </x:si>
  <x:si>
    <x:t xml:space="preserve">Banquets Payroll (%)</x:t>
  </x:si>
  <x:si>
    <x:t xml:space="preserve">Banquets Op. Ex. (%)</x:t>
  </x:si>
  <x:si>
    <x:t xml:space="preserve">Other F&amp;B Expense</x:t>
  </x:si>
  <x:si>
    <x:t xml:space="preserve">Parking COGS (%)</x:t>
  </x:si>
  <x:si>
    <x:t xml:space="preserve">Parking Payroll (%)</x:t>
  </x:si>
  <x:si>
    <x:t xml:space="preserve">Parking Op. Ex. (%)</x:t>
  </x:si>
  <x:si>
    <x:t xml:space="preserve">Spa COGS (%)</x:t>
  </x:si>
  <x:si>
    <x:t xml:space="preserve">Spa Payroll (%)</x:t>
  </x:si>
  <x:si>
    <x:t xml:space="preserve">Spa Op. Ex. (%)</x:t>
  </x:si>
  <x:si>
    <x:t xml:space="preserve">Spa Management Fees (%)</x:t>
  </x:si>
  <x:si>
    <x:t xml:space="preserve">Retail Shop COGS (%)</x:t>
  </x:si>
  <x:si>
    <x:t xml:space="preserve">Retail Shop Payroll (%)</x:t>
  </x:si>
  <x:si>
    <x:t xml:space="preserve">Retail Shop Op. Ex. (%)</x:t>
  </x:si>
  <x:si>
    <x:t xml:space="preserve">Total Departmental Expenses</x:t>
  </x:si>
  <x:si>
    <x:t xml:space="preserve">Total Departmental Expenses (%)</x:t>
  </x:si>
  <x:si>
    <x:t xml:space="preserve">Total Departmental Profit</x:t>
  </x:si>
  <x:si>
    <x:t xml:space="preserve">Total Departmental Profit (%)</x:t>
  </x:si>
  <x:si>
    <x:t xml:space="preserve">Total Departmental Profit (POR)</x:t>
  </x:si>
  <x:si>
    <x:t xml:space="preserve">Undistributed Operating Expenses</x:t>
  </x:si>
  <x:si>
    <x:t xml:space="preserve">A&amp;G</x:t>
  </x:si>
  <x:si>
    <x:t xml:space="preserve">Salaries &amp; Wages (PAR)</x:t>
  </x:si>
  <x:si>
    <x:t xml:space="preserve">Total A&amp;G Payroll (PAR)</x:t>
  </x:si>
  <x:si>
    <x:t xml:space="preserve">Credit Card Commissions (% of Rev.)</x:t>
  </x:si>
  <x:si>
    <x:t xml:space="preserve">Corporate Office Reimbursables (PAR)</x:t>
  </x:si>
  <x:si>
    <x:t xml:space="preserve">Human Resources (PAR)</x:t>
  </x:si>
  <x:si>
    <x:t xml:space="preserve">Security (PAR)</x:t>
  </x:si>
  <x:si>
    <x:t xml:space="preserve">Other A&amp;G Expenses (PAR)</x:t>
  </x:si>
  <x:si>
    <x:t xml:space="preserve">Total Other A&amp;G Expense (PAR)</x:t>
  </x:si>
  <x:si>
    <x:t xml:space="preserve">Total A&amp;G Expense</x:t>
  </x:si>
  <x:si>
    <x:t xml:space="preserve">Total A&amp;G Expense %</x:t>
  </x:si>
  <x:si>
    <x:t xml:space="preserve">Total A&amp;G Expense PAR</x:t>
  </x:si>
  <x:si>
    <x:t xml:space="preserve">IT</x:t>
  </x:si>
  <x:si>
    <x:t xml:space="preserve">Total IT Payroll (PAR)</x:t>
  </x:si>
  <x:si>
    <x:t xml:space="preserve">Cost of Services (PAR)</x:t>
  </x:si>
  <x:si>
    <x:t xml:space="preserve">System Expenses (PAR)</x:t>
  </x:si>
  <x:si>
    <x:t xml:space="preserve">Other Expenses (PAR)</x:t>
  </x:si>
  <x:si>
    <x:t xml:space="preserve">Total IT Expense</x:t>
  </x:si>
  <x:si>
    <x:t xml:space="preserve">Total IT Expense %</x:t>
  </x:si>
  <x:si>
    <x:t xml:space="preserve">Total IT Expense PAR</x:t>
  </x:si>
  <x:si>
    <x:t xml:space="preserve">S&amp;M</x:t>
  </x:si>
  <x:si>
    <x:t xml:space="preserve">Total S&amp;M Payroll (PAR)</x:t>
  </x:si>
  <x:si>
    <x:t xml:space="preserve">Agency Fees (PAR)</x:t>
  </x:si>
  <x:si>
    <x:t xml:space="preserve">Corporate Office Reimbursables (% of Rev.)</x:t>
  </x:si>
  <x:si>
    <x:t xml:space="preserve">Contract Services (PAR)</x:t>
  </x:si>
  <x:si>
    <x:t xml:space="preserve">Media (PAR)</x:t>
  </x:si>
  <x:si>
    <x:t xml:space="preserve">Loyalty Programs (% of Rms. Rev.)</x:t>
  </x:si>
  <x:si>
    <x:t xml:space="preserve">Capture %</x:t>
  </x:si>
  <x:si>
    <x:t xml:space="preserve">Other S&amp;M Expenses (PAR)</x:t>
  </x:si>
  <x:si>
    <x:t xml:space="preserve">Total Other S&amp;M Expense (PAR)</x:t>
  </x:si>
  <x:si>
    <x:t xml:space="preserve">Total S&amp;M Expense</x:t>
  </x:si>
  <x:si>
    <x:t xml:space="preserve">Total S&amp;M Expense %</x:t>
  </x:si>
  <x:si>
    <x:t xml:space="preserve">Total S&amp;M Expense PAR</x:t>
  </x:si>
  <x:si>
    <x:t xml:space="preserve">Franchise Fees - incl. brand/mktg. fees for non-franchise hotels</x:t>
  </x:si>
  <x:si>
    <x:t xml:space="preserve">Franchise Fees - Royalties (% of Rms. Rev.)</x:t>
  </x:si>
  <x:si>
    <x:t xml:space="preserve">Franchise Fees - F&amp;B Royalties (% of F&amp;B Rev.)</x:t>
  </x:si>
  <x:si>
    <x:t xml:space="preserve">Franchise &amp; Affiliation Marketing Fees (% of Rms. Rev.)</x:t>
  </x:si>
  <x:si>
    <x:t xml:space="preserve">Franchise Fees - Fixed (PAR)</x:t>
  </x:si>
  <x:si>
    <x:t xml:space="preserve">Total Franchise Fees Expense</x:t>
  </x:si>
  <x:si>
    <x:t xml:space="preserve">Total Franchise Fees Expense %</x:t>
  </x:si>
  <x:si>
    <x:t xml:space="preserve">Total Franchise Fees Expense PAR</x:t>
  </x:si>
  <x:si>
    <x:t xml:space="preserve">PO&amp;M</x:t>
  </x:si>
  <x:si>
    <x:t xml:space="preserve">Total PO&amp;M Payroll (PAR)</x:t>
  </x:si>
  <x:si>
    <x:t xml:space="preserve">Grounds Maintenance &amp; Landscaping (PAR)</x:t>
  </x:si>
  <x:si>
    <x:t xml:space="preserve">Other PO&amp;M Expenses (PAR)</x:t>
  </x:si>
  <x:si>
    <x:t xml:space="preserve">Total Other PO&amp;M Expense (PAR)</x:t>
  </x:si>
  <x:si>
    <x:t xml:space="preserve">Total PO&amp;M Expense</x:t>
  </x:si>
  <x:si>
    <x:t xml:space="preserve">Total PO&amp;M Expense %</x:t>
  </x:si>
  <x:si>
    <x:t xml:space="preserve">Total PO&amp;M Expense PAR</x:t>
  </x:si>
  <x:si>
    <x:t xml:space="preserve">Utilities</x:t>
  </x:si>
  <x:si>
    <x:t xml:space="preserve">Total Utilities Expense</x:t>
  </x:si>
  <x:si>
    <x:t xml:space="preserve">Total Utilities Expense %</x:t>
  </x:si>
  <x:si>
    <x:t xml:space="preserve">Estimate of Fixed Expense %</x:t>
  </x:si>
  <x:si>
    <x:t xml:space="preserve">Estimate of Variable Expense %</x:t>
  </x:si>
  <x:si>
    <x:t xml:space="preserve">Variable Utilities Expense POR</x:t>
  </x:si>
  <x:si>
    <x:t xml:space="preserve">Fixed Utilities Expense PAR</x:t>
  </x:si>
  <x:si>
    <x:t xml:space="preserve">Total Undistributed Expenses</x:t>
  </x:si>
  <x:si>
    <x:t xml:space="preserve">Total Undistributed Expenses (%)</x:t>
  </x:si>
  <x:si>
    <x:t xml:space="preserve">Gross Operating Profit</x:t>
  </x:si>
  <x:si>
    <x:t xml:space="preserve">Gross Operating Profit (%)</x:t>
  </x:si>
  <x:si>
    <x:t xml:space="preserve">Management Fees</x:t>
  </x:si>
  <x:si>
    <x:t xml:space="preserve">Base Management Fees (%)</x:t>
  </x:si>
  <x:si>
    <x:t xml:space="preserve">Incentive Management Fees (%)</x:t>
  </x:si>
  <x:si>
    <x:t xml:space="preserve">Total Management Fees</x:t>
  </x:si>
  <x:si>
    <x:t xml:space="preserve">Income Before Non-Operating Income &amp; Expenses</x:t>
  </x:si>
  <x:si>
    <x:t xml:space="preserve">Income Before Non-Operating Income &amp; Expenses (%)</x:t>
  </x:si>
  <x:si>
    <x:t xml:space="preserve">Non-Operating Income &amp; Expenses</x:t>
  </x:si>
  <x:si>
    <x:t xml:space="preserve">Income (PAR)</x:t>
  </x:si>
  <x:si>
    <x:t xml:space="preserve">Rent Expense (% of Rev.)</x:t>
  </x:si>
  <x:si>
    <x:t xml:space="preserve">Property &amp; Other Taxes (PAR)</x:t>
  </x:si>
  <x:si>
    <x:t xml:space="preserve">Insurance (PAR)</x:t>
  </x:si>
  <x:si>
    <x:t xml:space="preserve">Property Insurance</x:t>
  </x:si>
  <x:si>
    <x:t xml:space="preserve">Liability Insurance</x:t>
  </x:si>
  <x:si>
    <x:t xml:space="preserve">Other (PAR)</x:t>
  </x:si>
  <x:si>
    <x:t xml:space="preserve">Total Non-Operating Income &amp; Expenses</x:t>
  </x:si>
  <x:si>
    <x:t xml:space="preserve">EBITDA</x:t>
  </x:si>
  <x:si>
    <x:t xml:space="preserve">EBITDA (%)</x:t>
  </x:si>
</x:sst>
</file>

<file path=xl/styles.xml><?xml version="1.0" encoding="utf-8"?>
<ns0:styleSheet xmlns:ns0="http://schemas.openxmlformats.org/spreadsheetml/2006/main">
  <ns0:numFmts count="6">
    <ns0:numFmt numFmtId="43" formatCode="_(* #,##0.00_);_(* \(#,##0.00\);_(* &quot;-&quot;??_);_(@_)"/>
    <ns0:numFmt numFmtId="164" formatCode="_(#,##0_);[Red]_(\(#,##0\);_(\ \-\ _);@_)"/>
    <ns0:numFmt numFmtId="165" formatCode="0.0_)%;\(0.0\)%;0.0%_);@_)_%"/>
    <ns0:numFmt numFmtId="166" formatCode="_(#,##0.00_);[Red]_(\(#,##0.00\);_(\ \-\ _);@_)"/>
    <ns0:numFmt numFmtId="167" formatCode="0.0_)%;\(0.0\)%;0.0_)%;@_)_%"/>
    <ns0:numFmt numFmtId="168" formatCode="_(&quot;$&quot;* #,##0.00_);_(&quot;$&quot;* \(#,##0.00\);_(&quot;$&quot;* \-\ _);@_)"/>
  </ns0:numFmts>
  <ns0:fonts count="17">
    <ns0:font>
      <ns0:sz val="11"/>
      <ns0:color theme="1"/>
      <ns0:name val="Aptos Narrow"/>
    </ns0:font>
    <ns0:font>
      <ns0:sz val="11"/>
      <ns0:color theme="1"/>
      <ns0:name val="Aptos Narrow"/>
    </ns0:font>
    <ns0:font>
      <ns0:sz val="11"/>
      <ns0:color theme="1"/>
      <ns0:name val="Calibri"/>
    </ns0:font>
    <ns0:font>
      <ns0:b/>
      <ns0:sz val="11"/>
      <ns0:color indexed="9"/>
      <ns0:name val="Calibri"/>
    </ns0:font>
    <ns0:font>
      <ns0:b/>
      <ns0:sz val="11"/>
      <ns0:color rgb="FFFFFFFF"/>
      <ns0:name val="Calibri"/>
    </ns0:font>
    <ns0:font>
      <ns0:b/>
      <ns0:sz val="11"/>
      <ns0:name val="Calibri"/>
    </ns0:font>
    <ns0:font>
      <ns0:sz val="11"/>
      <ns0:name val="Calibri"/>
    </ns0:font>
    <ns0:font>
      <ns0:sz val="9"/>
      <ns0:color theme="1"/>
      <ns0:name val="Calibri"/>
    </ns0:font>
    <ns0:font>
      <ns0:sz val="9"/>
      <ns0:color theme="1"/>
      <ns0:name val="Aptos Narrow"/>
    </ns0:font>
    <ns0:font>
      <ns0:b/>
      <ns0:sz val="9"/>
      <ns0:color indexed="9"/>
      <ns0:name val="Calibri"/>
    </ns0:font>
    <ns0:font>
      <ns0:b/>
      <ns0:sz val="9"/>
      <ns0:color theme="1"/>
      <ns0:name val="Calibri"/>
    </ns0:font>
    <ns0:font>
      <ns0:sz val="9"/>
      <ns0:color theme="1"/>
      <ns0:name val="Calibri"/>
    </ns0:font>
    <ns0:font>
      <ns0:sz val="9"/>
      <ns0:color indexed="12"/>
      <ns0:name val="Calibri"/>
    </ns0:font>
    <ns0:font>
      <ns0:b/>
      <ns0:sz val="9"/>
      <ns0:color theme="1"/>
      <ns0:name val="Calibri"/>
    </ns0:font>
    <ns0:font>
      <ns0:sz val="9"/>
      <ns0:name val="Calibri"/>
    </ns0:font>
    <ns0:font>
      <ns0:sz val="9"/>
      <ns0:color indexed="12"/>
      <ns0:name val="Calibri"/>
    </ns0:font>
    <ns0:font>
      <ns0:i/>
      <ns0:sz val="9"/>
      <ns0:color theme="1"/>
      <ns0:name val="Calibri"/>
    </ns0:font>
  </ns0:fonts>
  <ns0:fills count="6">
    <ns0:fill>
      <ns0:patternFill patternType="none"/>
    </ns0:fill>
    <ns0:fill>
      <ns0:patternFill patternType="gray125"/>
    </ns0:fill>
    <ns0:fill>
      <ns0:patternFill patternType="solid">
        <ns0:fgColor rgb="FF39617A"/>
      </ns0:patternFill>
    </ns0:fill>
    <ns0:fill>
      <ns0:patternFill patternType="solid">
        <ns0:fgColor rgb="FF39617A"/>
      </ns0:patternFill>
    </ns0:fill>
    <ns0:fill>
      <ns0:patternFill patternType="solid">
        <ns0:fgColor rgb="FFEEECE1"/>
      </ns0:patternFill>
    </ns0:fill>
    <ns0:fill>
      <ns0:patternFill patternType="solid">
        <ns0:fgColor rgb="FFFFFFFF"/>
      </ns0:patternFill>
    </ns0:fill>
  </ns0:fills>
  <ns0:borders count="5">
    <ns0:border/>
    <ns0:border>
      <ns0:top style="thin">
        <ns0:color indexed="64"/>
      </ns0:top>
    </ns0:border>
    <ns0:border>
      <ns0:bottom style="thin">
        <ns0:color indexed="64"/>
      </ns0:bottom>
    </ns0:border>
    <ns0:border>
      <ns0:bottom style="hair">
        <ns0:color indexed="64"/>
      </ns0:bottom>
    </ns0:border>
    <ns0:border>
      <ns0:left style="thin">
        <ns0:color indexed="64"/>
      </ns0:left>
    </ns0:border>
  </ns0:borders>
  <ns0:cellStyleXfs count="2">
    <ns0:xf numFmtId="0" fontId="0" fillId="0" borderId="0"/>
    <ns0:xf numFmtId="43" fontId="1" fillId="0" borderId="0"/>
  </ns0:cellStyleXfs>
  <ns0:cellXfs count="57">
    <ns0:xf numFmtId="0" fontId="0" fillId="0" borderId="0" xfId="0"/>
    <ns0:xf numFmtId="0" fontId="2" fillId="0" borderId="0" xfId="0" applyFont="1"/>
    <ns0:xf numFmtId="0" fontId="3" fillId="2" borderId="0" xfId="0" applyFont="1" applyFill="1" applyAlignment="1">
      <ns0:alignment horizontal="left"/>
    </ns0:xf>
    <ns0:xf numFmtId="0" fontId="3" fillId="2" borderId="0" xfId="0" applyFont="1" applyFill="1" applyAlignment="1">
      <ns0:alignment horizontal="right"/>
    </ns0:xf>
    <ns0:xf numFmtId="164" fontId="2" fillId="0" borderId="0" xfId="0" applyNumberFormat="1" applyFont="1"/>
    <ns0:xf numFmtId="0" fontId="2" fillId="0" borderId="0" xfId="1" applyNumberFormat="1" applyFont="1" applyAlignment="1">
      <ns0:alignment horizontal="left" wrapText="1"/>
    </ns0:xf>
    <ns0:xf numFmtId="0" fontId="2" fillId="0" borderId="0" xfId="0" applyFont="1" applyAlignment="1">
      <ns0:alignment wrapText="1"/>
    </ns0:xf>
    <ns0:xf numFmtId="165" fontId="2" fillId="0" borderId="0" xfId="0" applyNumberFormat="1" applyFont="1"/>
    <ns0:xf numFmtId="166" fontId="2" fillId="0" borderId="0" xfId="0" applyNumberFormat="1" applyFont="1"/>
    <ns0:xf numFmtId="0" fontId="4" fillId="3" borderId="0" xfId="0" applyFont="1" applyFill="1"/>
    <ns0:xf numFmtId="0" fontId="5" fillId="0" borderId="0" xfId="0" applyFont="1"/>
    <ns0:xf numFmtId="0" fontId="6" fillId="0" borderId="0" xfId="0" applyFont="1" applyAlignment="1">
      <ns0:alignment horizontal="left" vertical="top" wrapText="1"/>
    </ns0:xf>
    <ns0:xf numFmtId="0" fontId="0" fillId="0" borderId="0" xfId="0" applyAlignment="1">
      <ns0:alignment horizontal="left"/>
    </ns0:xf>
    <ns0:xf numFmtId="0" fontId="7" fillId="0" borderId="0" xfId="0" applyFont="1"/>
    <ns0:xf numFmtId="0" fontId="8" fillId="0" borderId="0" xfId="0" applyFont="1"/>
    <ns0:xf numFmtId="0" fontId="9" fillId="2" borderId="0" xfId="0" applyFont="1" applyFill="1" applyAlignment="1">
      <ns0:alignment horizontal="left"/>
    </ns0:xf>
    <ns0:xf numFmtId="0" fontId="10" fillId="0" borderId="0" xfId="0" applyFont="1"/>
    <ns0:xf numFmtId="0" fontId="10" fillId="0" borderId="2" xfId="0" applyFont="1" applyBorder="1" applyAlignment="1">
      <ns0:alignment horizontal="right"/>
    </ns0:xf>
    <ns0:xf numFmtId="0" fontId="10" fillId="0" borderId="0" xfId="0" applyFont="1" applyAlignment="1">
      <ns0:alignment horizontal="right"/>
    </ns0:xf>
    <ns0:xf numFmtId="164" fontId="7" fillId="0" borderId="0" xfId="0" applyNumberFormat="1" applyFont="1" applyAlignment="1">
      <ns0:alignment horizontal="right"/>
    </ns0:xf>
    <ns0:xf numFmtId="0" fontId="11" fillId="0" borderId="0" xfId="0" applyFont="1"/>
    <ns0:xf numFmtId="167" fontId="12" fillId="0" borderId="0" xfId="0" applyNumberFormat="1" applyFont="1"/>
    <ns0:xf numFmtId="168" fontId="12" fillId="0" borderId="0" xfId="0" applyNumberFormat="1" applyFont="1"/>
    <ns0:xf numFmtId="168" fontId="7" fillId="0" borderId="0" xfId="0" applyNumberFormat="1" applyFont="1"/>
    <ns0:xf numFmtId="0" fontId="10" fillId="0" borderId="0" xfId="0" applyFont="1" applyAlignment="1">
      <ns0:alignment horizontal="centerContinuous"/>
    </ns0:xf>
    <ns0:xf numFmtId="0" fontId="13" fillId="0" borderId="0" xfId="0" applyFont="1"/>
    <ns0:xf numFmtId="0" fontId="11" fillId="0" borderId="0" xfId="0" applyFont="1" applyAlignment="1">
      <ns0:alignment horizontal="left" indent="2"/>
    </ns0:xf>
    <ns0:xf numFmtId="38" fontId="12" fillId="0" borderId="0" xfId="0" applyNumberFormat="1" applyFont="1"/>
    <ns0:xf numFmtId="38" fontId="14" fillId="0" borderId="0" xfId="0" applyNumberFormat="1" applyFont="1"/>
    <ns0:xf numFmtId="0" fontId="11" fillId="0" borderId="0" xfId="0" applyFont="1" applyAlignment="1">
      <ns0:alignment horizontal="left" indent="5"/>
    </ns0:xf>
    <ns0:xf numFmtId="0" fontId="15" fillId="0" borderId="0" xfId="0" applyFont="1" applyAlignment="1">
      <ns0:alignment horizontal="left" indent="5"/>
    </ns0:xf>
    <ns0:xf numFmtId="0" fontId="13" fillId="0" borderId="0" xfId="0" applyFont="1" applyAlignment="1">
      <ns0:alignment horizontal="left"/>
    </ns0:xf>
    <ns0:xf numFmtId="38" fontId="10" fillId="0" borderId="1" xfId="0" applyNumberFormat="1" applyFont="1" applyBorder="1"/>
    <ns0:xf numFmtId="40" fontId="10" fillId="0" borderId="2" xfId="0" applyNumberFormat="1" applyFont="1" applyBorder="1"/>
    <ns0:xf numFmtId="0" fontId="11" fillId="0" borderId="0" xfId="0" applyFont="1" applyAlignment="1">
      <ns0:alignment horizontal="left" indent="8"/>
    </ns0:xf>
    <ns0:xf numFmtId="38" fontId="14" fillId="0" borderId="3" xfId="0" applyNumberFormat="1" applyFont="1" applyBorder="1"/>
    <ns0:xf numFmtId="38" fontId="7" fillId="0" borderId="1" xfId="0" applyNumberFormat="1" applyFont="1" applyBorder="1"/>
    <ns0:xf numFmtId="167" fontId="7" fillId="0" borderId="0" xfId="0" applyNumberFormat="1" applyFont="1"/>
    <ns0:xf numFmtId="40" fontId="7" fillId="0" borderId="2" xfId="0" applyNumberFormat="1" applyFont="1" applyBorder="1"/>
    <ns0:xf numFmtId="38" fontId="7" fillId="0" borderId="0" xfId="0" applyNumberFormat="1" applyFont="1"/>
    <ns0:xf numFmtId="0" fontId="11" fillId="0" borderId="0" xfId="0" applyFont="1" applyAlignment="1">
      <ns0:alignment horizontal="left" indent="3"/>
    </ns0:xf>
    <ns0:xf numFmtId="0" fontId="11" fillId="0" borderId="0" xfId="0" applyFont="1" applyAlignment="1">
      <ns0:alignment horizontal="left" indent="4"/>
    </ns0:xf>
    <ns0:xf numFmtId="38" fontId="11" fillId="0" borderId="4" xfId="0" applyNumberFormat="1" applyFont="1" applyBorder="1"/>
    <ns0:xf numFmtId="0" fontId="11" fillId="0" borderId="0" xfId="0" applyFont="1" applyAlignment="1">
      <ns0:alignment horizontal="left" indent="7"/>
    </ns0:xf>
    <ns0:xf numFmtId="38" fontId="15" fillId="0" borderId="4" xfId="0" applyNumberFormat="1" applyFont="1" applyBorder="1"/>
    <ns0:xf numFmtId="0" fontId="11" fillId="0" borderId="0" xfId="0" applyFont="1" applyAlignment="1">
      <ns0:alignment horizontal="left" indent="6"/>
    </ns0:xf>
    <ns0:xf numFmtId="167" fontId="10" fillId="0" borderId="2" xfId="0" applyNumberFormat="1" applyFont="1" applyBorder="1"/>
    <ns0:xf numFmtId="167" fontId="10" fillId="0" borderId="0" xfId="0" applyNumberFormat="1" applyFont="1"/>
    <ns0:xf numFmtId="38" fontId="7" fillId="0" borderId="2" xfId="0" applyNumberFormat="1" applyFont="1" applyBorder="1"/>
    <ns0:xf numFmtId="0" fontId="16" fillId="0" borderId="0" xfId="0" applyFont="1" applyAlignment="1">
      <ns0:alignment horizontal="left" indent="8"/>
    </ns0:xf>
    <ns0:xf numFmtId="38" fontId="7" fillId="0" borderId="3" xfId="0" applyNumberFormat="1" applyFont="1" applyBorder="1"/>
    <ns0:xf numFmtId="38" fontId="12" fillId="0" borderId="1" xfId="0" applyNumberFormat="1" applyFont="1" applyBorder="1"/>
    <ns0:xf numFmtId="167" fontId="14" fillId="0" borderId="0" xfId="0" applyNumberFormat="1" applyFont="1"/>
    <ns0:xf numFmtId="40" fontId="14" fillId="0" borderId="0" xfId="0" applyNumberFormat="1" applyFont="1"/>
    <ns0:xf numFmtId="38" fontId="12" fillId="0" borderId="3" xfId="0" applyNumberFormat="1" applyFont="1" applyBorder="1"/>
    <ns0:xf numFmtId="0" fontId="0" fillId="4" borderId="0" xfId="0" applyNumberFormat="1" applyFont="1" applyFill="1" applyBorder="1"/>
    <ns0:xf numFmtId="0" fontId="0" fillId="5" borderId="0" xfId="0" applyNumberFormat="1" applyFont="1" applyFill="1" applyBorder="1"/>
  </ns0:cellXfs>
  <ns0:cellStyles count="2">
    <ns0:cellStyle name="Comma" xfId="1"/>
    <ns0:cellStyle name="Normal" xfId="0"/>
  </ns0:cellStyles>
  <ns0:dxfs count="2">
    <ns0:dxf>
      <ns0:fill>
        <ns0:patternFill>
          <ns0:bgColor rgb="FFEEECE1"/>
        </ns0:patternFill>
      </ns0:fill>
    </ns0:dxf>
    <ns0:dxf>
      <ns0:fill>
        <ns0:patternFill patternType="solid">
          <ns0:bgColor rgb="FFEEECE1"/>
        </ns0:patternFill>
      </ns0:fill>
    </ns0:dxf>
  </ns0:dxf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b4ca523ec4496" /><Relationship Type="http://schemas.openxmlformats.org/officeDocument/2006/relationships/theme" Target="/xl/theme/theme1.xml" Id="Ree2d007fc6764fb8" /><Relationship Type="http://schemas.openxmlformats.org/officeDocument/2006/relationships/sharedStrings" Target="/xl/sharedStrings.xml" Id="R2cbcac9bc96b4325" /><Relationship Type="http://schemas.openxmlformats.org/officeDocument/2006/relationships/worksheet" Target="/xl/worksheets/sheet1.xml" Id="Rde12f802a0944018" /><Relationship Type="http://schemas.openxmlformats.org/officeDocument/2006/relationships/worksheet" Target="/xl/worksheets/sheet2.xml" Id="Rd8c579fb6bc74e07" /><Relationship Type="http://schemas.openxmlformats.org/officeDocument/2006/relationships/worksheet" Target="/xl/worksheets/sheet3.xml" Id="Rf3ca7b3d39064b1d" /></Relationships>
</file>

<file path=xl/drawings/drawing1.xml><?xml version="1.0" encoding="utf-8"?>
<xdr:wsDr xmlns:xdr="http://schemas.openxmlformats.org/drawingml/2006/spreadsheetDrawing">
  <xdr:twoCellAnchor editAs="oneCell">
    <xdr:from>
      <xdr:col>22</xdr:col>
      <xdr:colOff>276227</xdr:colOff>
      <xdr:row>18</xdr:row>
      <xdr:rowOff>0</xdr:rowOff>
    </xdr:from>
    <xdr:to>
      <xdr:col>25</xdr:col>
      <xdr:colOff>920751</xdr:colOff>
      <xdr:row>30</xdr:row>
      <xdr:rowOff>66675</xdr:rowOff>
    </xdr:to>
    <xdr:sp>
      <xdr:nvSpPr>
        <xdr:cNvPr id="1" name="TextBox 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5734052" y="914400"/>
          <a:ext cx="3819524" cy="977900"/>
        </a:xfrm>
        <a:prstGeom xmlns:a="http://schemas.openxmlformats.org/drawingml/2006/main" prst="rect">
          <a:avLst/>
        </a:prstGeom>
        <a:solidFill xmlns:a="http://schemas.openxmlformats.org/drawingml/2006/main">
          <a:srgbClr val="EEECE1"/>
        </a:solidFill>
        <a:ln xmlns:a="http://schemas.openxmlformats.org/drawingml/2006/main" w="9525">
          <a:noFill/>
        </a:ln>
      </xdr:spPr>
      <xdr:style>
        <a:lnRef xmlns:a="http://schemas.openxmlformats.org/drawingml/2006/main" idx="0"/>
        <a:fillRef xmlns:a="http://schemas.openxmlformats.org/drawingml/2006/main" idx="0"/>
        <a:effectRef xmlns:a="http://schemas.openxmlformats.org/drawingml/2006/main" idx="0"/>
        <a:fontRef xmlns:a="http://schemas.openxmlformats.org/drawingml/2006/main" idx="minor">
          <a:schemeClr val="dk1"/>
        </a:fontRef>
      </xdr:style>
      <xdr:txBody>
        <a:bodyPr xmlns:a="http://schemas.openxmlformats.org/drawingml/2006/main" wrap="square" anchor="t"/>
        <a:lstStyle xmlns:a="http://schemas.openxmlformats.org/drawingml/2006/main"/>
        <a:p xmlns:a="http://schemas.openxmlformats.org/drawingml/2006/main">
          <a:r>
            <a:rPr sz="900" b="1" u="sng">
              <a:latin typeface="Calibri"/>
              <a:ea typeface="Calibri"/>
              <a:cs typeface="Calibri"/>
            </a:rPr>
            <a:t>Model Input</a:t>
          </a:r>
          <a:r>
            <a:rPr sz="900" b="1" u="sng">
              <a:latin typeface="Calibri"/>
              <a:ea typeface="Calibri"/>
              <a:cs typeface="Calibri"/>
            </a:rPr>
            <a:t>:</a:t>
          </a:r>
          <a:endParaRPr/>
        </a:p>
        <a:p xmlns:a="http://schemas.openxmlformats.org/drawingml/2006/main">
          <a:r>
            <a:rPr sz="900">
              <a:latin typeface="Calibri"/>
              <a:ea typeface="Calibri"/>
              <a:cs typeface="Calibri"/>
            </a:rPr>
            <a:t>1) </a:t>
          </a:r>
          <a:r>
            <a:rPr sz="900">
              <a:latin typeface="Calibri"/>
              <a:ea typeface="Calibri"/>
              <a:cs typeface="Calibri"/>
            </a:rPr>
            <a:t>Detach</a:t>
          </a:r>
          <a:r>
            <a:rPr sz="900">
              <a:latin typeface="Calibri"/>
              <a:ea typeface="Calibri"/>
              <a:cs typeface="Calibri"/>
            </a:rPr>
            <a:t> this sheet into a new workbook (right click sheet &gt; move or copy)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2) Go to the Data ribbon and break external links to this workbook</a:t>
          </a:r>
          <a:endParaRPr/>
        </a:p>
        <a:p xmlns:a="http://schemas.openxmlformats.org/drawingml/2006/main">
          <a:r>
            <a:rPr sz="900">
              <a:latin typeface="Calibri"/>
              <a:ea typeface="Calibri"/>
              <a:cs typeface="Calibri"/>
            </a:rPr>
            <a:t>3) Internal formulas should survive while blue inputs become hardcoded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4) Copy paste rows 29:239 into the period you want in the Projections tab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5)</a:t>
          </a: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 Update rooms sold so it's a formula driven off occupancy</a:t>
          </a:r>
          <a:endParaRPr/>
        </a:p>
        <a:p xmlns:a="http://schemas.openxmlformats.org/drawingml/2006/main"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1edee0fc8c344c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2.7265625" customWidth="1"/>
    <x:col min="2" max="2" width="28" customWidth="1"/>
    <x:col min="3" max="3" width="95" customWidth="1"/>
    <x:col min="4" max="4" width="8.7265625" customWidth="1"/>
  </x:cols>
  <x:sheetData>
    <x:row r="2">
      <x:c r="B2" s="9" t="s">
        <x:v>0</x:v>
      </x:c>
      <x:c r="C2" s="9"/>
    </x:row>
    <x:row r="3">
      <x:c r="C3" s="12"/>
    </x:row>
    <x:row r="4">
      <x:c r="B4" s="10" t="s">
        <x:v>1</x:v>
      </x:c>
      <x:c r="C4" s="11"/>
    </x:row>
    <x:row r="5">
      <x:c r="B5" s="10" t="s">
        <x:v>2</x:v>
      </x:c>
      <x:c r="C5" s="11"/>
    </x:row>
    <x:row r="6">
      <x:c r="B6" s="10" t="s">
        <x:v>3</x:v>
      </x:c>
      <x:c r="C6" s="11"/>
    </x:row>
    <x:row r="7">
      <x:c r="B7" s="10" t="s">
        <x:v>4</x:v>
      </x:c>
      <x:c r="C7" s="11"/>
    </x:row>
    <x:row r="8">
      <x:c r="B8" s="10" t="s">
        <x:v>5</x:v>
      </x:c>
      <x:c r="C8" s="11"/>
    </x:row>
    <x:row r="9">
      <x:c r="B9" s="10" t="s">
        <x:v>6</x:v>
      </x:c>
      <x:c r="C9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2" topLeftCell="C3" activePane="bottomRight" state="frozen"/>
      <x:selection pane="topRight" activeCell="C1" sqref="C1"/>
      <x:selection pane="bottomLeft" activeCell="A3" sqref="A3"/>
      <x:selection pane="bottomRight" activeCell="W226" sqref="W226"/>
    </x:sheetView>
  </x:sheetViews>
  <x:sheetFormatPr defaultColWidth="14.453125" defaultRowHeight="14.5"/>
  <x:cols>
    <x:col min="1" max="1" width="3.54296875" style="1" customWidth="1"/>
    <x:col min="2" max="2" width="61.453125" style="1" customWidth="1"/>
    <x:col min="3" max="3" width="14.453125" style="1" customWidth="1"/>
    <x:col min="4" max="4" width="14.453125" hidden="1" customWidth="1"/>
    <x:col min="5" max="8" width="14.453125" style="1" hidden="1" customWidth="1"/>
    <x:col min="9" max="22" width="14.453125" hidden="1" customWidth="1"/>
    <x:col min="23" max="23" width="75" customWidth="1"/>
    <x:col min="24" max="24" width="55" customWidth="1"/>
    <x:col min="25" max="25" width="14" customWidth="1"/>
    <x:col min="26" max="16384" width="14.453125" style="1" customWidth="0"/>
  </x:cols>
  <x:sheetData>
    <x:row r="2">
      <x:c r="B2" s="2" t="s">
        <x:v>7</x:v>
      </x:c>
      <x:c r="C2" s="3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 t="s">
        <x:v>8</x:v>
      </x:c>
      <x:c r="X2" s="2" t="s">
        <x:v>9</x:v>
      </x:c>
      <x:c r="Y2" s="2" t="s">
        <x:v>10</x:v>
      </x:c>
    </x:row>
    <x:row r="3">
      <x:c r="B3" s="1" t="s">
        <x:v>11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5"/>
      <x:c r="X3" s="6"/>
    </x:row>
    <x:row r="4">
      <x:c r="B4" s="1" t="s">
        <x:v>12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5"/>
      <x:c r="X4" s="6"/>
    </x:row>
    <x:row r="5">
      <x:c r="B5" s="1" t="s">
        <x:v>13</x:v>
      </x:c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5"/>
      <x:c r="X5" s="6"/>
    </x:row>
    <x:row r="6">
      <x:c r="B6" s="1" t="s">
        <x:v>14</x:v>
      </x:c>
      <x:c r="C6" s="8"/>
      <x:c r="D6" s="8"/>
      <x:c r="E6" s="8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  <x:c r="V6" s="8"/>
      <x:c r="W6" s="5"/>
      <x:c r="X6" s="6"/>
    </x:row>
    <x:row r="7">
      <x:c r="B7" s="1" t="s">
        <x:v>15</x:v>
      </x:c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  <x:c r="V7" s="8"/>
      <x:c r="W7" s="5"/>
      <x:c r="X7" s="6"/>
    </x:row>
    <x:row r="8">
      <x:c r="B8" s="1" t="s">
        <x:v>16</x:v>
      </x:c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5"/>
      <x:c r="X8" s="6"/>
    </x:row>
    <x:row r="9">
      <x:c r="B9" s="1" t="s">
        <x:v>17</x:v>
      </x:c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5"/>
      <x:c r="X9" s="6"/>
    </x:row>
    <x:row r="10">
      <x:c r="B10" s="1" t="s">
        <x:v>18</x:v>
      </x:c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5"/>
      <x:c r="X10" s="6"/>
    </x:row>
    <x:row r="11">
      <x:c r="B11" s="1" t="s">
        <x:v>19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5"/>
      <x:c r="X11" s="6"/>
    </x:row>
    <x:row r="12">
      <x:c r="B12" s="1" t="s">
        <x:v>20</x:v>
      </x:c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5"/>
      <x:c r="X12" s="6"/>
    </x:row>
    <x:row r="13">
      <x:c r="B13" s="1" t="s">
        <x:v>21</x:v>
      </x:c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5"/>
      <x:c r="X13" s="6"/>
    </x:row>
    <x:row r="14">
      <x:c r="B14" s="1" t="s">
        <x:v>22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5"/>
      <x:c r="X14" s="6"/>
    </x:row>
    <x:row r="15">
      <x:c r="B15" s="1" t="s">
        <x:v>23</x:v>
      </x:c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5"/>
      <x:c r="X15" s="6"/>
    </x:row>
    <x:row r="16">
      <x:c r="B16" s="1" t="s">
        <x:v>24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5"/>
      <x:c r="X16" s="6"/>
    </x:row>
    <x:row r="17">
      <x:c r="B17" s="1" t="s">
        <x:v>25</x:v>
      </x:c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5"/>
      <x:c r="X17" s="6"/>
    </x:row>
    <x:row r="18">
      <x:c r="B18" s="1" t="s">
        <x:v>26</x:v>
      </x:c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5"/>
      <x:c r="X18" s="6"/>
    </x:row>
    <x:row r="19">
      <x:c r="B19" s="1" t="s">
        <x:v>27</x:v>
      </x:c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5"/>
      <x:c r="X19" s="6"/>
    </x:row>
    <x:row r="20">
      <x:c r="B20" s="1" t="s">
        <x:v>28</x:v>
      </x:c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5"/>
      <x:c r="X20" s="6"/>
    </x:row>
    <x:row r="21">
      <x:c r="B21" s="1" t="s">
        <x:v>29</x:v>
      </x:c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5"/>
      <x:c r="X21" s="6"/>
    </x:row>
    <x:row r="22">
      <x:c r="B22" s="1" t="s">
        <x:v>30</x:v>
      </x:c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5"/>
      <x:c r="X22" s="6"/>
    </x:row>
    <x:row r="23">
      <x:c r="B23" s="1" t="s">
        <x:v>31</x:v>
      </x:c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5"/>
      <x:c r="X23" s="6"/>
    </x:row>
    <x:row r="24">
      <x:c r="B24" s="1" t="s">
        <x:v>32</x:v>
      </x:c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5"/>
      <x:c r="X24" s="6"/>
    </x:row>
    <x:row r="25">
      <x:c r="B25" s="1" t="s">
        <x:v>33</x:v>
      </x:c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5"/>
      <x:c r="X25" s="6"/>
    </x:row>
    <x:row r="26">
      <x:c r="B26" s="1" t="s">
        <x:v>34</x:v>
      </x:c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5"/>
      <x:c r="X26" s="6"/>
    </x:row>
    <x:row r="27">
      <x:c r="B27" s="1" t="s">
        <x:v>35</x:v>
      </x:c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5"/>
      <x:c r="X27" s="6"/>
    </x:row>
    <x:row r="28">
      <x:c r="B28" s="1" t="s">
        <x:v>36</x:v>
      </x:c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5"/>
      <x:c r="X28" s="6"/>
    </x:row>
    <x:row r="29">
      <x:c r="B29" s="1" t="s">
        <x:v>37</x:v>
      </x:c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5"/>
      <x:c r="X29" s="6"/>
    </x:row>
    <x:row r="30">
      <x:c r="B30" s="1" t="s">
        <x:v>38</x:v>
      </x:c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5"/>
      <x:c r="X30" s="6"/>
    </x:row>
    <x:row r="31">
      <x:c r="B31" s="1" t="s">
        <x:v>39</x:v>
      </x:c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5"/>
      <x:c r="X31" s="6"/>
    </x:row>
    <x:row r="32">
      <x:c r="B32" s="1" t="s">
        <x:v>40</x:v>
      </x:c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5"/>
      <x:c r="X32" s="6"/>
    </x:row>
    <x:row r="33">
      <x:c r="B33" s="1" t="s">
        <x:v>41</x:v>
      </x:c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5"/>
      <x:c r="X33" s="6"/>
    </x:row>
    <x:row r="34">
      <x:c r="B34" s="1" t="s">
        <x:v>42</x:v>
      </x:c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5"/>
      <x:c r="X34" s="6"/>
    </x:row>
    <x:row r="35">
      <x:c r="B35" s="1" t="s">
        <x:v>43</x:v>
      </x:c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5"/>
      <x:c r="X35" s="6"/>
    </x:row>
    <x:row r="36">
      <x:c r="B36" s="1" t="s">
        <x:v>44</x:v>
      </x:c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5"/>
      <x:c r="X36" s="6"/>
    </x:row>
    <x:row r="37">
      <x:c r="B37" s="1" t="s">
        <x:v>45</x:v>
      </x:c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5"/>
      <x:c r="X37" s="6"/>
    </x:row>
    <x:row r="38">
      <x:c r="B38" s="1" t="s">
        <x:v>46</x:v>
      </x:c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5"/>
      <x:c r="X38" s="6"/>
    </x:row>
    <x:row r="39">
      <x:c r="B39" s="1" t="s">
        <x:v>47</x:v>
      </x:c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5"/>
      <x:c r="X39" s="6"/>
    </x:row>
    <x:row r="40">
      <x:c r="B40" s="1" t="s">
        <x:v>48</x:v>
      </x:c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5"/>
      <x:c r="X40" s="6"/>
    </x:row>
    <x:row r="41">
      <x:c r="A41"/>
      <x:c r="B41" s="1" t="str">
        <x:v>S1.other_transient_rooms_revenue</x:v>
      </x:c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5"/>
      <x:c r="X41" s="6"/>
      <x:c r="Y41"/>
    </x:row>
    <x:row r="42">
      <x:c r="A42"/>
      <x:c r="B42" s="1" t="s">
        <x:v>49</x:v>
      </x:c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5"/>
      <x:c r="X42" s="6"/>
      <x:c r="Y42"/>
    </x:row>
    <x:row r="43">
      <x:c r="A43"/>
      <x:c r="B43" s="1" t="s">
        <x:v>50</x:v>
      </x:c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5"/>
      <x:c r="X43" s="6"/>
      <x:c r="Y43"/>
    </x:row>
    <x:row r="44">
      <x:c r="A44"/>
      <x:c r="B44" s="1" t="s">
        <x:v>51</x:v>
      </x:c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5"/>
      <x:c r="X44" s="6"/>
      <x:c r="Y44"/>
    </x:row>
    <x:row r="45">
      <x:c r="A45"/>
      <x:c r="B45" s="1" t="s">
        <x:v>52</x:v>
      </x:c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5"/>
      <x:c r="X45" s="6"/>
      <x:c r="Y45"/>
    </x:row>
    <x:row r="46">
      <x:c r="A46"/>
      <x:c r="B46" s="1" t="s">
        <x:v>53</x:v>
      </x:c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5"/>
      <x:c r="X46" s="6"/>
      <x:c r="Y46"/>
    </x:row>
    <x:row r="47">
      <x:c r="A47"/>
      <x:c r="B47" s="1" t="s">
        <x:v>54</x:v>
      </x:c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5"/>
      <x:c r="X47" s="6"/>
      <x:c r="Y47"/>
    </x:row>
    <x:row r="48">
      <x:c r="A48"/>
      <x:c r="B48" s="1" t="str">
        <x:v>S1.other_group_rooms_revenue</x:v>
      </x:c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5"/>
      <x:c r="X48" s="6"/>
      <x:c r="Y48"/>
    </x:row>
    <x:row r="49">
      <x:c r="A49"/>
      <x:c r="B49" s="1" t="s">
        <x:v>55</x:v>
      </x:c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5"/>
      <x:c r="X49" s="6"/>
      <x:c r="Y49"/>
    </x:row>
    <x:row r="50">
      <x:c r="A50"/>
      <x:c r="B50" s="1" t="s">
        <x:v>56</x:v>
      </x:c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5"/>
      <x:c r="X50" s="6"/>
      <x:c r="Y50"/>
    </x:row>
    <x:row r="51">
      <x:c r="A51"/>
      <x:c r="B51" s="1" t="s">
        <x:v>57</x:v>
      </x:c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5"/>
      <x:c r="X51" s="6"/>
      <x:c r="Y51"/>
    </x:row>
    <x:row r="52">
      <x:c r="A52"/>
      <x:c r="B52" s="1" t="s">
        <x:v>58</x:v>
      </x:c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5"/>
      <x:c r="X52" s="6"/>
      <x:c r="Y52"/>
    </x:row>
    <x:row r="53">
      <x:c r="A53"/>
      <x:c r="B53" s="1" t="s">
        <x:v>59</x:v>
      </x:c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5"/>
      <x:c r="X53" s="6"/>
      <x:c r="Y53"/>
    </x:row>
    <x:row r="54">
      <x:c r="A54"/>
      <x:c r="B54" s="1" t="s">
        <x:v>60</x:v>
      </x:c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5"/>
      <x:c r="X54" s="6"/>
      <x:c r="Y54"/>
    </x:row>
    <x:row r="55">
      <x:c r="A55"/>
      <x:c r="B55" s="1" t="s">
        <x:v>61</x:v>
      </x:c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5"/>
      <x:c r="X55" s="6"/>
      <x:c r="Y55"/>
    </x:row>
    <x:row r="56">
      <x:c r="A56"/>
      <x:c r="B56" s="1" t="s">
        <x:v>62</x:v>
      </x:c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5"/>
      <x:c r="X56" s="6"/>
      <x:c r="Y56"/>
    </x:row>
    <x:row r="57">
      <x:c r="A57"/>
      <x:c r="B57" s="1" t="s">
        <x:v>63</x:v>
      </x:c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5"/>
      <x:c r="X57" s="6"/>
      <x:c r="Y57"/>
    </x:row>
    <x:row r="58">
      <x:c r="A58"/>
      <x:c r="B58" s="1" t="s">
        <x:v>64</x:v>
      </x:c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5"/>
      <x:c r="X58" s="6"/>
      <x:c r="Y58"/>
    </x:row>
    <x:row r="59">
      <x:c r="A59"/>
      <x:c r="B59" s="1" t="s">
        <x:v>65</x:v>
      </x:c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5"/>
      <x:c r="X59" s="6"/>
      <x:c r="Y59"/>
    </x:row>
    <x:row r="60">
      <x:c r="A60"/>
      <x:c r="B60" s="1" t="s">
        <x:v>66</x:v>
      </x:c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5"/>
      <x:c r="X60" s="6"/>
      <x:c r="Y60"/>
    </x:row>
    <x:row r="61">
      <x:c r="A61"/>
      <x:c r="B61" s="1" t="s">
        <x:v>67</x:v>
      </x:c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5"/>
      <x:c r="X61" s="6"/>
      <x:c r="Y61"/>
    </x:row>
    <x:row r="62">
      <x:c r="A62"/>
      <x:c r="B62" s="1" t="s">
        <x:v>68</x:v>
      </x:c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5"/>
      <x:c r="X62" s="6"/>
      <x:c r="Y62"/>
    </x:row>
    <x:row r="63">
      <x:c r="A63"/>
      <x:c r="B63" s="1" t="s">
        <x:v>69</x:v>
      </x:c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5"/>
      <x:c r="X63" s="6"/>
      <x:c r="Y63"/>
    </x:row>
    <x:row r="64">
      <x:c r="A64"/>
      <x:c r="B64" s="1" t="s">
        <x:v>70</x:v>
      </x:c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5"/>
      <x:c r="X64" s="6"/>
      <x:c r="Y64"/>
    </x:row>
    <x:row r="65">
      <x:c r="A65"/>
      <x:c r="B65" s="1" t="s">
        <x:v>71</x:v>
      </x:c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5"/>
      <x:c r="X65" s="6"/>
      <x:c r="Y65"/>
    </x:row>
    <x:row r="66">
      <x:c r="A66"/>
      <x:c r="B66" s="1" t="s">
        <x:v>72</x:v>
      </x:c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5"/>
      <x:c r="X66" s="6"/>
      <x:c r="Y66"/>
    </x:row>
    <x:row r="67">
      <x:c r="A67"/>
      <x:c r="B67" s="1" t="s">
        <x:v>73</x:v>
      </x:c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5"/>
      <x:c r="X67" s="6"/>
      <x:c r="Y67"/>
    </x:row>
    <x:row r="68">
      <x:c r="A68"/>
      <x:c r="B68" s="1" t="s">
        <x:v>74</x:v>
      </x:c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5"/>
      <x:c r="X68" s="6"/>
      <x:c r="Y68"/>
    </x:row>
    <x:row r="69">
      <x:c r="A69"/>
      <x:c r="B69" s="1" t="s">
        <x:v>75</x:v>
      </x:c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5"/>
      <x:c r="X69" s="6"/>
      <x:c r="Y69"/>
    </x:row>
    <x:row r="70">
      <x:c r="A70"/>
      <x:c r="B70" s="1" t="s">
        <x:v>76</x:v>
      </x:c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5"/>
      <x:c r="X70" s="6"/>
      <x:c r="Y70"/>
    </x:row>
    <x:row r="71">
      <x:c r="A71"/>
      <x:c r="B71" s="1" t="s">
        <x:v>77</x:v>
      </x:c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5"/>
      <x:c r="X71" s="6"/>
      <x:c r="Y71"/>
    </x:row>
    <x:row r="72">
      <x:c r="A72"/>
      <x:c r="B72" s="1" t="s">
        <x:v>78</x:v>
      </x:c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5"/>
      <x:c r="X72" s="6"/>
      <x:c r="Y72"/>
    </x:row>
    <x:row r="73">
      <x:c r="A73"/>
      <x:c r="B73" s="1" t="s">
        <x:v>79</x:v>
      </x:c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5"/>
      <x:c r="X73" s="6"/>
      <x:c r="Y73"/>
    </x:row>
    <x:row r="74">
      <x:c r="A74"/>
      <x:c r="B74" s="1" t="s">
        <x:v>80</x:v>
      </x:c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5"/>
      <x:c r="X74" s="6"/>
      <x:c r="Y74"/>
    </x:row>
    <x:row r="75">
      <x:c r="A75"/>
      <x:c r="B75" s="1" t="s">
        <x:v>81</x:v>
      </x:c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5"/>
      <x:c r="X75" s="6"/>
      <x:c r="Y75"/>
    </x:row>
    <x:row r="76">
      <x:c r="A76"/>
      <x:c r="B76" s="1" t="s">
        <x:v>82</x:v>
      </x:c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5"/>
      <x:c r="X76" s="6"/>
      <x:c r="Y76"/>
    </x:row>
    <x:row r="77">
      <x:c r="A77"/>
      <x:c r="B77" s="1" t="s">
        <x:v>83</x:v>
      </x:c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5"/>
      <x:c r="X77" s="6"/>
      <x:c r="Y77"/>
    </x:row>
    <x:row r="78">
      <x:c r="A78"/>
      <x:c r="B78" s="1" t="s">
        <x:v>84</x:v>
      </x:c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5"/>
      <x:c r="X78" s="6"/>
      <x:c r="Y78"/>
    </x:row>
    <x:row r="79">
      <x:c r="A79"/>
      <x:c r="B79" s="1" t="s">
        <x:v>85</x:v>
      </x:c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5"/>
      <x:c r="X79" s="6"/>
      <x:c r="Y79"/>
    </x:row>
    <x:row r="80">
      <x:c r="A80"/>
      <x:c r="B80" s="1" t="s">
        <x:v>86</x:v>
      </x:c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5"/>
      <x:c r="X80" s="6"/>
      <x:c r="Y80"/>
    </x:row>
    <x:row r="81">
      <x:c r="A81"/>
      <x:c r="B81" s="1" t="s">
        <x:v>87</x:v>
      </x:c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5"/>
      <x:c r="X81" s="6"/>
      <x:c r="Y81"/>
    </x:row>
    <x:row r="82">
      <x:c r="A82"/>
      <x:c r="B82" s="1" t="s">
        <x:v>88</x:v>
      </x:c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5"/>
      <x:c r="X82" s="6"/>
      <x:c r="Y82"/>
    </x:row>
    <x:row r="83">
      <x:c r="A83"/>
      <x:c r="B83" s="1" t="s">
        <x:v>89</x:v>
      </x:c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5"/>
      <x:c r="X83" s="6"/>
      <x:c r="Y83"/>
    </x:row>
    <x:row r="84">
      <x:c r="A84"/>
      <x:c r="B84" s="1" t="s">
        <x:v>90</x:v>
      </x:c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5"/>
      <x:c r="X84" s="6"/>
      <x:c r="Y84" s="1"/>
    </x:row>
    <x:row r="85">
      <x:c r="A85"/>
      <x:c r="B85" s="1" t="s">
        <x:v>91</x:v>
      </x:c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5"/>
      <x:c r="X85" s="6"/>
      <x:c r="Y85" s="1"/>
    </x:row>
    <x:row r="86">
      <x:c r="A86"/>
      <x:c r="B86" s="1" t="s">
        <x:v>92</x:v>
      </x:c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5"/>
      <x:c r="X86" s="6"/>
      <x:c r="Y86" s="1"/>
    </x:row>
    <x:row r="87">
      <x:c r="A87"/>
      <x:c r="B87" s="1" t="s">
        <x:v>93</x:v>
      </x:c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5"/>
      <x:c r="X87" s="6"/>
      <x:c r="Y87" s="1"/>
    </x:row>
    <x:row r="88">
      <x:c r="A88"/>
      <x:c r="B88" s="1" t="s">
        <x:v>94</x:v>
      </x:c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5"/>
      <x:c r="X88" s="6"/>
      <x:c r="Y88" s="1"/>
    </x:row>
    <x:row r="89">
      <x:c r="A89"/>
      <x:c r="B89" s="1" t="s">
        <x:v>95</x:v>
      </x:c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5"/>
      <x:c r="X89" s="6"/>
      <x:c r="Y89" s="1"/>
    </x:row>
    <x:row r="90">
      <x:c r="A90"/>
      <x:c r="B90" s="1" t="s">
        <x:v>96</x:v>
      </x:c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5"/>
      <x:c r="X90" s="6"/>
      <x:c r="Y90" s="1"/>
    </x:row>
    <x:row r="91">
      <x:c r="A91"/>
      <x:c r="B91" s="1" t="s">
        <x:v>97</x:v>
      </x:c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5"/>
      <x:c r="X91" s="6"/>
      <x:c r="Y91" s="1"/>
    </x:row>
    <x:row r="92">
      <x:c r="A92"/>
      <x:c r="B92" s="1" t="s">
        <x:v>98</x:v>
      </x:c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5"/>
      <x:c r="X92" s="6"/>
      <x:c r="Y92" s="1"/>
    </x:row>
    <x:row r="93">
      <x:c r="A93"/>
      <x:c r="B93" s="1" t="s">
        <x:v>99</x:v>
      </x:c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5"/>
      <x:c r="X93" s="6"/>
      <x:c r="Y93" s="1"/>
    </x:row>
    <x:row r="94">
      <x:c r="A94"/>
      <x:c r="B94" s="1" t="s">
        <x:v>100</x:v>
      </x:c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5"/>
      <x:c r="X94" s="6"/>
      <x:c r="Y94"/>
    </x:row>
    <x:row r="95">
      <x:c r="A95"/>
      <x:c r="B95" s="1" t="s">
        <x:v>101</x:v>
      </x:c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5"/>
      <x:c r="X95" s="6"/>
      <x:c r="Y95"/>
    </x:row>
    <x:row r="96">
      <x:c r="A96"/>
      <x:c r="B96" s="1" t="s">
        <x:v>102</x:v>
      </x:c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5"/>
      <x:c r="X96" s="6"/>
      <x:c r="Y96"/>
    </x:row>
    <x:row r="97">
      <x:c r="A97"/>
      <x:c r="B97" s="1" t="s">
        <x:v>103</x:v>
      </x:c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5"/>
      <x:c r="X97" s="6"/>
      <x:c r="Y97"/>
    </x:row>
    <x:row r="98">
      <x:c r="A98"/>
      <x:c r="B98" s="1" t="s">
        <x:v>104</x:v>
      </x:c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5"/>
      <x:c r="X98" s="6"/>
      <x:c r="Y98"/>
    </x:row>
    <x:row r="99">
      <x:c r="A99"/>
      <x:c r="B99" s="1" t="s">
        <x:v>105</x:v>
      </x:c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5"/>
      <x:c r="X99" s="6"/>
      <x:c r="Y99"/>
    </x:row>
    <x:row r="100">
      <x:c r="A100"/>
      <x:c r="B100" s="1" t="s">
        <x:v>106</x:v>
      </x:c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5"/>
      <x:c r="X100" s="6"/>
      <x:c r="Y100"/>
    </x:row>
    <x:row r="101">
      <x:c r="A101"/>
      <x:c r="B101" s="1" t="s">
        <x:v>107</x:v>
      </x:c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5"/>
      <x:c r="X101" s="6"/>
      <x:c r="Y101"/>
    </x:row>
    <x:row r="102">
      <x:c r="A102"/>
      <x:c r="B102" s="1" t="s">
        <x:v>108</x:v>
      </x:c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5"/>
      <x:c r="X102" s="6"/>
      <x:c r="Y102"/>
    </x:row>
    <x:row r="103">
      <x:c r="A103"/>
      <x:c r="B103" s="1" t="s">
        <x:v>109</x:v>
      </x:c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5"/>
      <x:c r="X103" s="6"/>
      <x:c r="Y103"/>
    </x:row>
    <x:row r="104">
      <x:c r="A104"/>
      <x:c r="B104" s="1" t="s">
        <x:v>110</x:v>
      </x:c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5"/>
      <x:c r="X104" s="6"/>
      <x:c r="Y104"/>
    </x:row>
    <x:row r="105">
      <x:c r="A105"/>
      <x:c r="B105" s="1" t="s">
        <x:v>111</x:v>
      </x:c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5"/>
      <x:c r="X105" s="6"/>
      <x:c r="Y105"/>
    </x:row>
    <x:row r="106">
      <x:c r="A106"/>
      <x:c r="B106" s="1" t="s">
        <x:v>112</x:v>
      </x:c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5"/>
      <x:c r="X106" s="6"/>
      <x:c r="Y106"/>
    </x:row>
    <x:row r="107">
      <x:c r="A107"/>
      <x:c r="B107" s="1" t="s">
        <x:v>113</x:v>
      </x:c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5"/>
      <x:c r="X107" s="6"/>
      <x:c r="Y107"/>
    </x:row>
    <x:row r="108">
      <x:c r="A108"/>
      <x:c r="B108" s="1" t="s">
        <x:v>114</x:v>
      </x:c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5"/>
      <x:c r="X108" s="6"/>
      <x:c r="Y108"/>
    </x:row>
    <x:row r="109">
      <x:c r="A109"/>
      <x:c r="B109" s="1" t="s">
        <x:v>115</x:v>
      </x:c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5"/>
      <x:c r="X109" s="6"/>
      <x:c r="Y109"/>
    </x:row>
    <x:row r="110">
      <x:c r="A110"/>
      <x:c r="B110" s="1" t="s">
        <x:v>116</x:v>
      </x:c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5"/>
      <x:c r="X110" s="6"/>
      <x:c r="Y110"/>
    </x:row>
    <x:row r="111">
      <x:c r="A111"/>
      <x:c r="B111" s="1" t="s">
        <x:v>117</x:v>
      </x:c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5"/>
      <x:c r="X111" s="6"/>
      <x:c r="Y111"/>
    </x:row>
    <x:row r="112">
      <x:c r="A112"/>
      <x:c r="B112" s="1" t="s">
        <x:v>118</x:v>
      </x:c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5"/>
      <x:c r="X112" s="6"/>
      <x:c r="Y112"/>
    </x:row>
    <x:row r="113">
      <x:c r="A113"/>
      <x:c r="B113" s="1" t="s">
        <x:v>119</x:v>
      </x:c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5"/>
      <x:c r="X113" s="6"/>
      <x:c r="Y113"/>
    </x:row>
    <x:row r="114">
      <x:c r="A114"/>
      <x:c r="B114" s="1" t="s">
        <x:v>120</x:v>
      </x:c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5"/>
      <x:c r="X114" s="6"/>
      <x:c r="Y114"/>
    </x:row>
    <x:row r="115">
      <x:c r="A115"/>
      <x:c r="B115" s="1" t="s">
        <x:v>121</x:v>
      </x:c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5"/>
      <x:c r="X115" s="6"/>
      <x:c r="Y115"/>
    </x:row>
    <x:row r="116">
      <x:c r="A116"/>
      <x:c r="B116" s="1" t="s">
        <x:v>122</x:v>
      </x:c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5"/>
      <x:c r="X116" s="6"/>
      <x:c r="Y116"/>
    </x:row>
    <x:row r="117">
      <x:c r="A117"/>
      <x:c r="B117" s="1" t="s">
        <x:v>123</x:v>
      </x:c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5"/>
      <x:c r="X117" s="6"/>
      <x:c r="Y117"/>
    </x:row>
    <x:row r="118">
      <x:c r="A118"/>
      <x:c r="B118" s="1" t="s">
        <x:v>124</x:v>
      </x:c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5"/>
      <x:c r="X118" s="6"/>
      <x:c r="Y118"/>
    </x:row>
    <x:row r="119">
      <x:c r="A119"/>
      <x:c r="B119" s="1" t="s">
        <x:v>125</x:v>
      </x:c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5"/>
      <x:c r="X119" s="6"/>
      <x:c r="Y119"/>
    </x:row>
    <x:row r="120">
      <x:c r="A120"/>
      <x:c r="B120" s="1" t="s">
        <x:v>126</x:v>
      </x:c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5"/>
      <x:c r="X120" s="6"/>
      <x:c r="Y120"/>
    </x:row>
    <x:row r="121">
      <x:c r="A121"/>
      <x:c r="B121" s="1" t="s">
        <x:v>127</x:v>
      </x:c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5"/>
      <x:c r="X121" s="6"/>
      <x:c r="Y121"/>
    </x:row>
    <x:row r="122">
      <x:c r="A122"/>
      <x:c r="B122" s="1" t="s">
        <x:v>128</x:v>
      </x:c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5"/>
      <x:c r="X122" s="6"/>
      <x:c r="Y122"/>
    </x:row>
    <x:row r="123">
      <x:c r="A123"/>
      <x:c r="B123" s="1" t="s">
        <x:v>129</x:v>
      </x:c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5"/>
      <x:c r="X123" s="6"/>
      <x:c r="Y123"/>
    </x:row>
    <x:row r="124">
      <x:c r="A124"/>
      <x:c r="B124" s="1" t="s">
        <x:v>130</x:v>
      </x:c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5"/>
      <x:c r="X124" s="6"/>
      <x:c r="Y124"/>
    </x:row>
    <x:row r="125">
      <x:c r="A125"/>
      <x:c r="B125" s="1" t="s">
        <x:v>131</x:v>
      </x:c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5"/>
      <x:c r="X125" s="6"/>
      <x:c r="Y125"/>
    </x:row>
    <x:row r="126">
      <x:c r="A126"/>
      <x:c r="B126" s="1" t="s">
        <x:v>132</x:v>
      </x:c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5"/>
      <x:c r="X126" s="6"/>
      <x:c r="Y126"/>
    </x:row>
    <x:row r="127">
      <x:c r="A127"/>
      <x:c r="B127" s="1" t="s">
        <x:v>133</x:v>
      </x:c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5"/>
      <x:c r="X127" s="6"/>
      <x:c r="Y127"/>
    </x:row>
    <x:row r="128">
      <x:c r="A128"/>
      <x:c r="B128" s="1" t="s">
        <x:v>134</x:v>
      </x:c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5"/>
      <x:c r="X128" s="6"/>
      <x:c r="Y128"/>
    </x:row>
    <x:row r="129">
      <x:c r="A129"/>
      <x:c r="B129" s="1" t="s">
        <x:v>135</x:v>
      </x:c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5"/>
      <x:c r="X129" s="6"/>
      <x:c r="Y129"/>
    </x:row>
    <x:row r="130">
      <x:c r="A130"/>
      <x:c r="B130" s="1" t="s">
        <x:v>136</x:v>
      </x:c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5"/>
      <x:c r="X130" s="6"/>
      <x:c r="Y130"/>
    </x:row>
    <x:row r="131">
      <x:c r="A131"/>
      <x:c r="B131" s="1" t="s">
        <x:v>137</x:v>
      </x:c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5"/>
      <x:c r="X131" s="6"/>
      <x:c r="Y131"/>
    </x:row>
    <x:row r="132">
      <x:c r="A132"/>
      <x:c r="B132" s="1" t="s">
        <x:v>138</x:v>
      </x:c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5"/>
      <x:c r="X132" s="6"/>
      <x:c r="Y132"/>
    </x:row>
    <x:row r="133">
      <x:c r="A133"/>
      <x:c r="B133" s="1" t="s">
        <x:v>139</x:v>
      </x:c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5"/>
      <x:c r="X133" s="6"/>
      <x:c r="Y133"/>
    </x:row>
    <x:row r="134">
      <x:c r="A134"/>
      <x:c r="B134" s="1" t="s">
        <x:v>140</x:v>
      </x:c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5"/>
      <x:c r="X134" s="6"/>
      <x:c r="Y134"/>
    </x:row>
    <x:row r="135">
      <x:c r="A135"/>
      <x:c r="B135" s="1" t="s">
        <x:v>141</x:v>
      </x:c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5"/>
      <x:c r="X135" s="6"/>
      <x:c r="Y135"/>
    </x:row>
    <x:row r="136">
      <x:c r="A136"/>
      <x:c r="B136" s="1" t="s">
        <x:v>142</x:v>
      </x:c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5"/>
      <x:c r="X136" s="6"/>
      <x:c r="Y136"/>
    </x:row>
    <x:row r="137">
      <x:c r="A137"/>
      <x:c r="B137" s="1" t="s">
        <x:v>143</x:v>
      </x:c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5"/>
      <x:c r="X137" s="6"/>
      <x:c r="Y137"/>
    </x:row>
    <x:row r="138">
      <x:c r="A138"/>
      <x:c r="B138" s="1" t="s">
        <x:v>144</x:v>
      </x:c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5"/>
      <x:c r="X138" s="6"/>
      <x:c r="Y138"/>
    </x:row>
    <x:row r="139">
      <x:c r="A139"/>
      <x:c r="B139" s="1" t="s">
        <x:v>145</x:v>
      </x:c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5"/>
      <x:c r="X139" s="6"/>
      <x:c r="Y139"/>
    </x:row>
    <x:row r="140">
      <x:c r="A140"/>
      <x:c r="B140" s="1" t="s">
        <x:v>146</x:v>
      </x:c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5"/>
      <x:c r="X140" s="6"/>
      <x:c r="Y140"/>
    </x:row>
    <x:row r="141">
      <x:c r="A141"/>
      <x:c r="B141" s="1" t="s">
        <x:v>147</x:v>
      </x:c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5"/>
      <x:c r="X141" s="6"/>
      <x:c r="Y141"/>
    </x:row>
    <x:row r="142">
      <x:c r="A142"/>
      <x:c r="B142" s="1" t="s">
        <x:v>148</x:v>
      </x:c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5"/>
      <x:c r="X142" s="6"/>
      <x:c r="Y142"/>
    </x:row>
    <x:row r="143">
      <x:c r="A143"/>
      <x:c r="B143" s="1" t="s">
        <x:v>149</x:v>
      </x:c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5"/>
      <x:c r="X143" s="6"/>
      <x:c r="Y143"/>
    </x:row>
    <x:row r="144">
      <x:c r="A144"/>
      <x:c r="B144" s="1" t="s">
        <x:v>150</x:v>
      </x:c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5"/>
      <x:c r="X144" s="6"/>
      <x:c r="Y144"/>
    </x:row>
    <x:row r="145">
      <x:c r="A145"/>
      <x:c r="B145" s="1" t="s">
        <x:v>151</x:v>
      </x:c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5"/>
      <x:c r="X145" s="6"/>
      <x:c r="Y145"/>
    </x:row>
    <x:row r="146">
      <x:c r="A146"/>
      <x:c r="B146" s="1" t="s">
        <x:v>152</x:v>
      </x:c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5"/>
      <x:c r="X146" s="6"/>
      <x:c r="Y146"/>
    </x:row>
    <x:row r="147">
      <x:c r="A147"/>
      <x:c r="B147" s="1" t="s">
        <x:v>153</x:v>
      </x:c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5"/>
      <x:c r="X147" s="6"/>
      <x:c r="Y147"/>
    </x:row>
    <x:row r="148">
      <x:c r="A148"/>
      <x:c r="B148" s="1" t="s">
        <x:v>154</x:v>
      </x:c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5"/>
      <x:c r="X148" s="6"/>
      <x:c r="Y148"/>
    </x:row>
    <x:row r="149">
      <x:c r="A149"/>
      <x:c r="B149" s="1" t="s">
        <x:v>155</x:v>
      </x:c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5"/>
      <x:c r="X149" s="6"/>
      <x:c r="Y149"/>
    </x:row>
    <x:row r="150">
      <x:c r="A150"/>
      <x:c r="B150" s="1" t="s">
        <x:v>156</x:v>
      </x:c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5"/>
      <x:c r="X150" s="6"/>
      <x:c r="Y150"/>
    </x:row>
    <x:row r="151">
      <x:c r="A151"/>
      <x:c r="B151" s="1" t="s">
        <x:v>157</x:v>
      </x:c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5"/>
      <x:c r="X151" s="6"/>
      <x:c r="Y151"/>
    </x:row>
    <x:row r="152">
      <x:c r="A152"/>
      <x:c r="B152" s="1" t="s">
        <x:v>158</x:v>
      </x:c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5"/>
      <x:c r="X152" s="6"/>
      <x:c r="Y152"/>
    </x:row>
    <x:row r="153">
      <x:c r="A153"/>
      <x:c r="B153" s="1" t="s">
        <x:v>159</x:v>
      </x:c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5"/>
      <x:c r="X153" s="6"/>
      <x:c r="Y153"/>
    </x:row>
    <x:row r="154">
      <x:c r="A154"/>
      <x:c r="B154" s="1" t="s">
        <x:v>160</x:v>
      </x:c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5"/>
      <x:c r="X154" s="6"/>
      <x:c r="Y154"/>
    </x:row>
    <x:row r="155">
      <x:c r="A155"/>
      <x:c r="B155" s="1" t="s">
        <x:v>161</x:v>
      </x:c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5"/>
      <x:c r="X155" s="6"/>
      <x:c r="Y155"/>
    </x:row>
    <x:row r="156">
      <x:c r="A156"/>
      <x:c r="B156" s="1" t="s">
        <x:v>162</x:v>
      </x:c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5"/>
      <x:c r="X156" s="6"/>
      <x:c r="Y156"/>
    </x:row>
    <x:row r="157">
      <x:c r="A157"/>
      <x:c r="B157" s="1" t="s">
        <x:v>163</x:v>
      </x:c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5"/>
      <x:c r="X157" s="6"/>
      <x:c r="Y157"/>
    </x:row>
    <x:row r="158">
      <x:c r="A158"/>
      <x:c r="B158" s="1" t="s">
        <x:v>164</x:v>
      </x:c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5"/>
      <x:c r="X158" s="6"/>
      <x:c r="Y158"/>
    </x:row>
    <x:row r="159">
      <x:c r="A159"/>
      <x:c r="B159" s="1" t="s">
        <x:v>165</x:v>
      </x:c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5"/>
      <x:c r="X159" s="6"/>
      <x:c r="Y159"/>
    </x:row>
    <x:row r="160">
      <x:c r="A160"/>
      <x:c r="B160" s="1" t="s">
        <x:v>166</x:v>
      </x:c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5"/>
      <x:c r="X160" s="6"/>
      <x:c r="Y160"/>
    </x:row>
    <x:row r="161">
      <x:c r="A161"/>
      <x:c r="B161" s="1" t="s">
        <x:v>167</x:v>
      </x:c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5"/>
      <x:c r="X161" s="6"/>
      <x:c r="Y161"/>
    </x:row>
    <x:row r="162">
      <x:c r="A162"/>
      <x:c r="B162" s="1" t="s">
        <x:v>168</x:v>
      </x:c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5"/>
      <x:c r="X162" s="6"/>
      <x:c r="Y162"/>
    </x:row>
    <x:row r="163">
      <x:c r="A163"/>
      <x:c r="B163" s="1" t="s">
        <x:v>169</x:v>
      </x:c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5"/>
      <x:c r="X163" s="6"/>
      <x:c r="Y163"/>
    </x:row>
    <x:row r="164">
      <x:c r="A164"/>
      <x:c r="B164" s="1" t="s">
        <x:v>170</x:v>
      </x:c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5"/>
      <x:c r="X164" s="6"/>
      <x:c r="Y164"/>
    </x:row>
    <x:row r="165">
      <x:c r="A165"/>
      <x:c r="B165" s="1" t="s">
        <x:v>171</x:v>
      </x:c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5"/>
      <x:c r="X165" s="6"/>
      <x:c r="Y165"/>
    </x:row>
    <x:row r="166">
      <x:c r="A166"/>
      <x:c r="B166" s="1" t="s">
        <x:v>172</x:v>
      </x:c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5"/>
      <x:c r="X166" s="6"/>
      <x:c r="Y166"/>
    </x:row>
    <x:row r="167">
      <x:c r="A167"/>
      <x:c r="B167" s="1" t="s">
        <x:v>173</x:v>
      </x:c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5"/>
      <x:c r="X167" s="6"/>
      <x:c r="Y167"/>
    </x:row>
    <x:row r="168">
      <x:c r="A168"/>
      <x:c r="B168" s="1" t="s">
        <x:v>174</x:v>
      </x:c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5"/>
      <x:c r="X168" s="6"/>
      <x:c r="Y168"/>
    </x:row>
    <x:row r="169">
      <x:c r="A169"/>
      <x:c r="B169" s="1" t="s">
        <x:v>175</x:v>
      </x:c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5"/>
      <x:c r="X169" s="6"/>
      <x:c r="Y169"/>
    </x:row>
    <x:row r="170">
      <x:c r="A170"/>
      <x:c r="B170" s="1" t="s">
        <x:v>176</x:v>
      </x:c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5"/>
      <x:c r="X170" s="6"/>
      <x:c r="Y170"/>
    </x:row>
    <x:row r="171">
      <x:c r="A171"/>
      <x:c r="B171" s="1" t="s">
        <x:v>177</x:v>
      </x:c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5"/>
      <x:c r="X171" s="6"/>
      <x:c r="Y171"/>
    </x:row>
    <x:row r="172">
      <x:c r="A172"/>
      <x:c r="B172" s="1" t="s">
        <x:v>178</x:v>
      </x:c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5"/>
      <x:c r="X172" s="6"/>
      <x:c r="Y172"/>
    </x:row>
    <x:row r="173">
      <x:c r="A173"/>
      <x:c r="B173" s="1" t="s">
        <x:v>179</x:v>
      </x:c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5"/>
      <x:c r="X173" s="6"/>
      <x:c r="Y173"/>
    </x:row>
    <x:row r="174">
      <x:c r="A174"/>
      <x:c r="B174" s="1" t="s">
        <x:v>180</x:v>
      </x:c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5"/>
      <x:c r="X174" s="6"/>
      <x:c r="Y174"/>
    </x:row>
    <x:row r="175">
      <x:c r="A175"/>
      <x:c r="B175" s="1" t="s">
        <x:v>181</x:v>
      </x:c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5"/>
      <x:c r="X175" s="6"/>
      <x:c r="Y175"/>
    </x:row>
    <x:row r="176">
      <x:c r="A176"/>
      <x:c r="B176" s="1" t="s">
        <x:v>182</x:v>
      </x:c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5"/>
      <x:c r="X176" s="6"/>
      <x:c r="Y176"/>
    </x:row>
    <x:row r="177">
      <x:c r="A177"/>
      <x:c r="B177" s="1" t="s">
        <x:v>183</x:v>
      </x:c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5"/>
      <x:c r="X177" s="6"/>
      <x:c r="Y177"/>
    </x:row>
    <x:row r="178">
      <x:c r="A178"/>
      <x:c r="B178" s="1" t="s">
        <x:v>184</x:v>
      </x:c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5"/>
      <x:c r="X178" s="6"/>
      <x:c r="Y178"/>
    </x:row>
    <x:row r="179">
      <x:c r="A179"/>
      <x:c r="B179" s="1" t="s">
        <x:v>185</x:v>
      </x:c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5"/>
      <x:c r="X179" s="6"/>
      <x:c r="Y179"/>
    </x:row>
    <x:row r="180">
      <x:c r="A180"/>
      <x:c r="B180" s="1" t="s">
        <x:v>186</x:v>
      </x:c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5"/>
      <x:c r="X180" s="6"/>
      <x:c r="Y180"/>
    </x:row>
    <x:row r="181">
      <x:c r="A181"/>
      <x:c r="B181" s="1" t="s">
        <x:v>187</x:v>
      </x:c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5"/>
      <x:c r="X181" s="6"/>
      <x:c r="Y181"/>
    </x:row>
    <x:row r="182">
      <x:c r="A182"/>
      <x:c r="B182" s="1" t="s">
        <x:v>188</x:v>
      </x:c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5"/>
      <x:c r="X182" s="6"/>
      <x:c r="Y182"/>
    </x:row>
    <x:row r="183">
      <x:c r="A183"/>
      <x:c r="B183" s="1" t="s">
        <x:v>189</x:v>
      </x:c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5"/>
      <x:c r="X183" s="6"/>
      <x:c r="Y183"/>
    </x:row>
    <x:row r="184">
      <x:c r="A184"/>
      <x:c r="B184" s="1" t="s">
        <x:v>190</x:v>
      </x:c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5"/>
      <x:c r="X184" s="6"/>
      <x:c r="Y184"/>
    </x:row>
    <x:row r="185">
      <x:c r="A185"/>
      <x:c r="B185" s="1" t="s">
        <x:v>191</x:v>
      </x:c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5"/>
      <x:c r="X185" s="6"/>
      <x:c r="Y185"/>
    </x:row>
    <x:row r="186">
      <x:c r="A186"/>
      <x:c r="B186" s="1" t="s">
        <x:v>192</x:v>
      </x:c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5"/>
      <x:c r="X186" s="6"/>
      <x:c r="Y186"/>
    </x:row>
    <x:row r="187">
      <x:c r="A187"/>
      <x:c r="B187" s="1" t="s">
        <x:v>193</x:v>
      </x:c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5"/>
      <x:c r="X187" s="6"/>
      <x:c r="Y187"/>
    </x:row>
    <x:row r="188">
      <x:c r="A188"/>
      <x:c r="B188" s="1" t="s">
        <x:v>194</x:v>
      </x:c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5"/>
      <x:c r="X188" s="6"/>
      <x:c r="Y188"/>
    </x:row>
    <x:row r="189">
      <x:c r="A189"/>
      <x:c r="B189" s="1" t="s">
        <x:v>195</x:v>
      </x:c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5"/>
      <x:c r="X189" s="6"/>
      <x:c r="Y189"/>
    </x:row>
    <x:row r="190">
      <x:c r="A190"/>
      <x:c r="B190" s="1" t="s">
        <x:v>196</x:v>
      </x:c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5"/>
      <x:c r="X190" s="6"/>
      <x:c r="Y190"/>
    </x:row>
    <x:row r="191">
      <x:c r="A191"/>
      <x:c r="B191" s="1" t="s">
        <x:v>197</x:v>
      </x:c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5"/>
      <x:c r="X191" s="6"/>
      <x:c r="Y191"/>
    </x:row>
    <x:row r="192">
      <x:c r="A192"/>
      <x:c r="B192" s="1" t="s">
        <x:v>198</x:v>
      </x:c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5"/>
      <x:c r="X192" s="6"/>
      <x:c r="Y192"/>
    </x:row>
    <x:row r="193">
      <x:c r="A193"/>
      <x:c r="B193" s="1" t="s">
        <x:v>199</x:v>
      </x:c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5"/>
      <x:c r="X193" s="6"/>
      <x:c r="Y193"/>
    </x:row>
    <x:row r="194">
      <x:c r="A194"/>
      <x:c r="B194" s="1" t="s">
        <x:v>200</x:v>
      </x:c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5"/>
      <x:c r="X194" s="6"/>
      <x:c r="Y194"/>
    </x:row>
    <x:row r="195">
      <x:c r="A195"/>
      <x:c r="B195" s="1" t="s">
        <x:v>201</x:v>
      </x:c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5"/>
      <x:c r="X195" s="6"/>
      <x:c r="Y195"/>
    </x:row>
    <x:row r="196">
      <x:c r="A196"/>
      <x:c r="B196" s="1" t="s">
        <x:v>202</x:v>
      </x:c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5"/>
      <x:c r="X196" s="6"/>
      <x:c r="Y196"/>
    </x:row>
    <x:row r="197">
      <x:c r="A197"/>
      <x:c r="B197" s="1" t="s">
        <x:v>203</x:v>
      </x:c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5"/>
      <x:c r="X197" s="6"/>
      <x:c r="Y197"/>
    </x:row>
    <x:row r="198">
      <x:c r="A198"/>
      <x:c r="B198" s="1" t="s">
        <x:v>204</x:v>
      </x:c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5"/>
      <x:c r="X198" s="6"/>
      <x:c r="Y198"/>
    </x:row>
    <x:row r="199">
      <x:c r="A199"/>
      <x:c r="B199" s="1" t="s">
        <x:v>205</x:v>
      </x:c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5"/>
      <x:c r="X199" s="6"/>
      <x:c r="Y199"/>
    </x:row>
    <x:row r="200">
      <x:c r="A200"/>
      <x:c r="B200" s="1" t="s">
        <x:v>206</x:v>
      </x:c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5"/>
      <x:c r="X200" s="6"/>
      <x:c r="Y200"/>
    </x:row>
    <x:row r="201">
      <x:c r="A201"/>
      <x:c r="B201" s="1" t="s">
        <x:v>207</x:v>
      </x:c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5"/>
      <x:c r="X201" s="6"/>
      <x:c r="Y201"/>
    </x:row>
    <x:row r="202">
      <x:c r="A202"/>
      <x:c r="B202" s="1" t="s">
        <x:v>208</x:v>
      </x:c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5"/>
      <x:c r="X202" s="6"/>
      <x:c r="Y202"/>
    </x:row>
    <x:row r="203">
      <x:c r="A203"/>
      <x:c r="B203" s="1" t="s">
        <x:v>209</x:v>
      </x:c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5"/>
      <x:c r="X203" s="6"/>
      <x:c r="Y203"/>
    </x:row>
    <x:row r="204">
      <x:c r="A204"/>
      <x:c r="B204" s="1" t="s">
        <x:v>210</x:v>
      </x:c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5"/>
      <x:c r="X204" s="6"/>
      <x:c r="Y204"/>
    </x:row>
    <x:row r="205">
      <x:c r="A205"/>
      <x:c r="B205" s="1" t="s">
        <x:v>211</x:v>
      </x:c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5"/>
      <x:c r="X205" s="6"/>
      <x:c r="Y205"/>
    </x:row>
    <x:row r="206">
      <x:c r="A206"/>
      <x:c r="B206" s="1" t="s">
        <x:v>212</x:v>
      </x:c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5"/>
      <x:c r="X206" s="6"/>
      <x:c r="Y206"/>
    </x:row>
    <x:row r="207">
      <x:c r="A207"/>
      <x:c r="B207" s="1" t="s">
        <x:v>213</x:v>
      </x:c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5"/>
      <x:c r="X207" s="6"/>
      <x:c r="Y207"/>
    </x:row>
    <x:row r="208">
      <x:c r="A208"/>
      <x:c r="B208" s="1" t="s">
        <x:v>214</x:v>
      </x:c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5"/>
      <x:c r="X208" s="6"/>
      <x:c r="Y208"/>
    </x:row>
    <x:row r="209">
      <x:c r="A209"/>
      <x:c r="B209" s="1" t="s">
        <x:v>215</x:v>
      </x:c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5"/>
      <x:c r="X209" s="6"/>
      <x:c r="Y209"/>
    </x:row>
    <x:row r="210">
      <x:c r="A210"/>
      <x:c r="B210" s="1" t="s">
        <x:v>216</x:v>
      </x:c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5"/>
      <x:c r="X210" s="6"/>
      <x:c r="Y210"/>
    </x:row>
    <x:row r="211">
      <x:c r="A211"/>
      <x:c r="B211" s="1" t="s">
        <x:v>217</x:v>
      </x:c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5"/>
      <x:c r="X211" s="6"/>
      <x:c r="Y211"/>
    </x:row>
    <x:row r="212">
      <x:c r="A212"/>
      <x:c r="B212" s="1" t="s">
        <x:v>218</x:v>
      </x:c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5"/>
      <x:c r="X212" s="6"/>
      <x:c r="Y212"/>
    </x:row>
    <x:row r="213">
      <x:c r="A213"/>
      <x:c r="B213" s="1" t="s">
        <x:v>219</x:v>
      </x:c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5"/>
      <x:c r="X213" s="6"/>
      <x:c r="Y213"/>
    </x:row>
    <x:row r="214">
      <x:c r="A214"/>
      <x:c r="B214" s="1" t="s">
        <x:v>220</x:v>
      </x:c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5"/>
      <x:c r="X214" s="6"/>
      <x:c r="Y214"/>
    </x:row>
    <x:row r="215">
      <x:c r="A215"/>
      <x:c r="B215" s="1" t="s">
        <x:v>221</x:v>
      </x:c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5"/>
      <x:c r="X215" s="6"/>
      <x:c r="Y215"/>
    </x:row>
    <x:row r="216">
      <x:c r="A216"/>
      <x:c r="B216" s="1" t="s">
        <x:v>222</x:v>
      </x:c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5"/>
      <x:c r="X216" s="6"/>
      <x:c r="Y216"/>
    </x:row>
    <x:row r="217">
      <x:c r="A217"/>
      <x:c r="B217" s="1" t="s">
        <x:v>223</x:v>
      </x:c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5"/>
      <x:c r="X217" s="6"/>
      <x:c r="Y217"/>
    </x:row>
    <x:row r="218">
      <x:c r="A218"/>
      <x:c r="B218" s="1" t="s">
        <x:v>224</x:v>
      </x:c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5"/>
      <x:c r="X218" s="6"/>
      <x:c r="Y218"/>
    </x:row>
    <x:row r="219">
      <x:c r="A219"/>
      <x:c r="B219" s="1" t="s">
        <x:v>225</x:v>
      </x:c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5"/>
      <x:c r="X219" s="6"/>
      <x:c r="Y219"/>
    </x:row>
    <x:row r="220">
      <x:c r="A220"/>
      <x:c r="B220" s="1" t="s">
        <x:v>226</x:v>
      </x:c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5"/>
      <x:c r="X220" s="6"/>
      <x:c r="Y220"/>
    </x:row>
    <x:row r="221">
      <x:c r="A221"/>
      <x:c r="B221" s="1" t="s">
        <x:v>227</x:v>
      </x:c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5"/>
      <x:c r="X221" s="6"/>
      <x:c r="Y221"/>
    </x:row>
    <x:row r="222">
      <x:c r="A222"/>
      <x:c r="B222" s="1" t="s">
        <x:v>228</x:v>
      </x:c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5"/>
      <x:c r="X222" s="6"/>
      <x:c r="Y222"/>
    </x:row>
    <x:row r="223">
      <x:c r="A223"/>
      <x:c r="B223" s="1" t="s">
        <x:v>229</x:v>
      </x:c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5"/>
      <x:c r="X223" s="6"/>
      <x:c r="Y223"/>
    </x:row>
    <x:row r="224">
      <x:c r="A224"/>
      <x:c r="B224" s="1" t="s">
        <x:v>230</x:v>
      </x:c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5"/>
      <x:c r="X224" s="6"/>
      <x:c r="Y224"/>
    </x:row>
    <x:row r="225">
      <x:c r="A225"/>
      <x:c r="B225" s="1" t="s">
        <x:v>231</x:v>
      </x:c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5"/>
      <x:c r="X225" s="6"/>
      <x:c r="Y225"/>
    </x:row>
    <x:row r="226">
      <x:c r="A226"/>
      <x:c r="B226" s="1" t="s">
        <x:v>232</x:v>
      </x:c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5"/>
      <x:c r="X226" s="6"/>
      <x:c r="Y226"/>
    </x:row>
    <x:row r="227">
      <x:c r="A227"/>
      <x:c r="B227" s="1" t="s">
        <x:v>233</x:v>
      </x:c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5"/>
      <x:c r="X227" s="6"/>
      <x:c r="Y227"/>
    </x:row>
    <x:row r="228">
      <x:c r="A228"/>
      <x:c r="B228" s="1" t="s">
        <x:v>234</x:v>
      </x:c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5"/>
      <x:c r="X228" s="6"/>
      <x:c r="Y228"/>
    </x:row>
    <x:row r="229">
      <x:c r="A229"/>
      <x:c r="B229" s="1" t="s">
        <x:v>235</x:v>
      </x:c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5"/>
      <x:c r="X229" s="6"/>
      <x:c r="Y229"/>
    </x:row>
    <x:row r="230">
      <x:c r="A230"/>
      <x:c r="B230" s="1" t="s">
        <x:v>236</x:v>
      </x:c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5"/>
      <x:c r="X230" s="6"/>
      <x:c r="Y230"/>
    </x:row>
    <x:row r="231">
      <x:c r="A231"/>
      <x:c r="B231" s="1" t="s">
        <x:v>237</x:v>
      </x:c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5"/>
      <x:c r="X231" s="6"/>
      <x:c r="Y231"/>
    </x:row>
    <x:row r="232">
      <x:c r="A232"/>
      <x:c r="B232" s="1" t="s">
        <x:v>238</x:v>
      </x:c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5"/>
      <x:c r="X232" s="6"/>
      <x:c r="Y232"/>
    </x:row>
    <x:row r="233">
      <x:c r="A233"/>
      <x:c r="B233" s="1" t="s">
        <x:v>239</x:v>
      </x:c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5"/>
      <x:c r="X233" s="6"/>
      <x:c r="Y233"/>
    </x:row>
    <x:row r="234">
      <x:c r="A234"/>
      <x:c r="B234" s="1" t="s">
        <x:v>240</x:v>
      </x:c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5"/>
      <x:c r="X234" s="6"/>
      <x:c r="Y234"/>
    </x:row>
    <x:row r="235">
      <x:c r="A235"/>
      <x:c r="B235" s="1" t="s">
        <x:v>241</x:v>
      </x:c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5"/>
      <x:c r="X235" s="6"/>
      <x:c r="Y235"/>
    </x:row>
    <x:row r="236">
      <x:c r="A236"/>
      <x:c r="B236" s="1" t="s">
        <x:v>242</x:v>
      </x:c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5"/>
      <x:c r="X236" s="6"/>
      <x:c r="Y236"/>
    </x:row>
    <x:row r="237">
      <x:c r="A237"/>
      <x:c r="B237" s="1" t="s">
        <x:v>243</x:v>
      </x:c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5"/>
      <x:c r="X237" s="6"/>
      <x:c r="Y237"/>
    </x:row>
    <x:row r="238">
      <x:c r="A238"/>
      <x:c r="B238" s="1" t="s">
        <x:v>244</x:v>
      </x:c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5"/>
      <x:c r="X238" s="6"/>
      <x:c r="Y238"/>
    </x:row>
    <x:row r="239">
      <x:c r="A239"/>
      <x:c r="B239" s="1" t="s">
        <x:v>245</x:v>
      </x:c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5"/>
      <x:c r="X239" s="6"/>
      <x:c r="Y239"/>
    </x:row>
    <x:row r="240">
      <x:c r="A240"/>
      <x:c r="B240" s="1" t="s">
        <x:v>246</x:v>
      </x:c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5"/>
      <x:c r="X240" s="6"/>
      <x:c r="Y240"/>
    </x:row>
    <x:row r="241">
      <x:c r="A241"/>
      <x:c r="B241" s="1" t="s">
        <x:v>247</x:v>
      </x:c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5"/>
      <x:c r="X241" s="6"/>
      <x:c r="Y241"/>
    </x:row>
    <x:row r="242">
      <x:c r="A242"/>
      <x:c r="B242" s="1" t="s">
        <x:v>248</x:v>
      </x:c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5"/>
      <x:c r="X242" s="6"/>
      <x:c r="Y242"/>
    </x:row>
    <x:row r="243">
      <x:c r="A243"/>
      <x:c r="B243" s="1" t="s">
        <x:v>249</x:v>
      </x:c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5"/>
      <x:c r="X243" s="6"/>
      <x:c r="Y243"/>
    </x:row>
    <x:row r="244">
      <x:c r="A244"/>
      <x:c r="B244" s="1" t="s">
        <x:v>250</x:v>
      </x:c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5"/>
      <x:c r="X244" s="6"/>
      <x:c r="Y244"/>
    </x:row>
    <x:row r="245">
      <x:c r="A245"/>
      <x:c r="B245" s="1" t="s">
        <x:v>251</x:v>
      </x:c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5"/>
      <x:c r="X245" s="6"/>
      <x:c r="Y245"/>
    </x:row>
    <x:row r="246">
      <x:c r="A246"/>
      <x:c r="B246" s="1" t="s">
        <x:v>252</x:v>
      </x:c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5"/>
      <x:c r="X246" s="6"/>
      <x:c r="Y246"/>
    </x:row>
    <x:row r="247">
      <x:c r="A247"/>
      <x:c r="B247" s="1" t="s">
        <x:v>253</x:v>
      </x:c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5"/>
      <x:c r="X247" s="6"/>
      <x:c r="Y247"/>
    </x:row>
    <x:row r="248">
      <x:c r="A248"/>
      <x:c r="B248" s="1" t="s">
        <x:v>254</x:v>
      </x:c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5"/>
      <x:c r="X248" s="6"/>
      <x:c r="Y248"/>
    </x:row>
    <x:row r="249">
      <x:c r="A249"/>
      <x:c r="B249" s="1" t="s">
        <x:v>255</x:v>
      </x:c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5"/>
      <x:c r="X249" s="6"/>
      <x:c r="Y249"/>
    </x:row>
    <x:row r="250">
      <x:c r="A250"/>
      <x:c r="B250" s="1" t="s">
        <x:v>256</x:v>
      </x:c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5"/>
      <x:c r="X250" s="6"/>
      <x:c r="Y250"/>
    </x:row>
    <x:row r="251">
      <x:c r="A251"/>
      <x:c r="B251" s="1" t="s">
        <x:v>257</x:v>
      </x:c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5"/>
      <x:c r="X251" s="6"/>
      <x:c r="Y251"/>
    </x:row>
    <x:row r="252">
      <x:c r="A252"/>
      <x:c r="B252" s="1" t="s">
        <x:v>258</x:v>
      </x:c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5"/>
      <x:c r="X252" s="6"/>
      <x:c r="Y252"/>
    </x:row>
    <x:row r="253">
      <x:c r="A253"/>
      <x:c r="B253" s="1" t="s">
        <x:v>259</x:v>
      </x:c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5"/>
      <x:c r="X253" s="6"/>
      <x:c r="Y253"/>
    </x:row>
    <x:row r="254">
      <x:c r="A254"/>
      <x:c r="B254" s="1" t="s">
        <x:v>260</x:v>
      </x:c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5"/>
      <x:c r="X254" s="6"/>
      <x:c r="Y254"/>
    </x:row>
    <x:row r="255">
      <x:c r="A255"/>
      <x:c r="B255" s="1" t="s">
        <x:v>261</x:v>
      </x:c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5"/>
      <x:c r="X255" s="6"/>
      <x:c r="Y255"/>
    </x:row>
    <x:row r="256">
      <x:c r="A256"/>
      <x:c r="B256" s="1" t="s">
        <x:v>262</x:v>
      </x:c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5"/>
      <x:c r="X256" s="6"/>
      <x:c r="Y256"/>
    </x:row>
    <x:row r="257">
      <x:c r="A257"/>
      <x:c r="B257" s="1" t="s">
        <x:v>263</x:v>
      </x:c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5"/>
      <x:c r="X257" s="6"/>
      <x:c r="Y257"/>
    </x:row>
    <x:row r="258">
      <x:c r="A258"/>
      <x:c r="B258" s="1" t="s">
        <x:v>264</x:v>
      </x:c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5"/>
      <x:c r="X258" s="6"/>
      <x:c r="Y258"/>
    </x:row>
    <x:row r="259">
      <x:c r="A259"/>
      <x:c r="B259" s="1" t="s">
        <x:v>265</x:v>
      </x:c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5"/>
      <x:c r="X259" s="6"/>
      <x:c r="Y259"/>
    </x:row>
    <x:row r="260">
      <x:c r="A260"/>
      <x:c r="B260" s="1" t="s">
        <x:v>266</x:v>
      </x:c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5"/>
      <x:c r="X260" s="6"/>
      <x:c r="Y260"/>
    </x:row>
    <x:row r="261">
      <x:c r="A261"/>
      <x:c r="B261" s="1" t="s">
        <x:v>267</x:v>
      </x:c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5"/>
      <x:c r="X261" s="6"/>
      <x:c r="Y261"/>
    </x:row>
    <x:row r="262">
      <x:c r="A262"/>
      <x:c r="B262" s="1" t="s">
        <x:v>268</x:v>
      </x:c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5"/>
      <x:c r="X262" s="6"/>
      <x:c r="Y262"/>
    </x:row>
    <x:row r="263">
      <x:c r="A263"/>
      <x:c r="B263" s="1" t="s">
        <x:v>269</x:v>
      </x:c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5"/>
      <x:c r="X263" s="6"/>
      <x:c r="Y263"/>
    </x:row>
    <x:row r="264">
      <x:c r="A264"/>
      <x:c r="B264" s="1" t="s">
        <x:v>270</x:v>
      </x:c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5"/>
      <x:c r="X264" s="6"/>
      <x:c r="Y264"/>
    </x:row>
    <x:row r="265">
      <x:c r="A265"/>
      <x:c r="B265" s="1" t="s">
        <x:v>271</x:v>
      </x:c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5"/>
      <x:c r="X265" s="6"/>
      <x:c r="Y265"/>
    </x:row>
    <x:row r="266">
      <x:c r="A266"/>
      <x:c r="B266" t="s">
        <x:v>272</x:v>
      </x:c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5"/>
      <x:c r="X266" s="6"/>
      <x:c r="Y266"/>
    </x:row>
    <x:row r="267">
      <x:c r="A267"/>
      <x:c r="B267" t="s">
        <x:v>273</x:v>
      </x:c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5"/>
      <x:c r="X267" s="6"/>
      <x:c r="Y267"/>
    </x:row>
    <x:row r="268">
      <x:c r="A268"/>
      <x:c r="B268" s="1" t="s">
        <x:v>274</x:v>
      </x:c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5"/>
      <x:c r="X268" s="6"/>
      <x:c r="Y268"/>
    </x:row>
    <x:row r="269">
      <x:c r="A269"/>
      <x:c r="B269" s="1" t="s">
        <x:v>275</x:v>
      </x:c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5"/>
      <x:c r="X269" s="6"/>
      <x:c r="Y269"/>
    </x:row>
    <x:row r="270">
      <x:c r="A270"/>
      <x:c r="B270" s="1" t="s">
        <x:v>276</x:v>
      </x:c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5"/>
      <x:c r="X270" s="6"/>
      <x:c r="Y270"/>
    </x:row>
    <x:row r="271">
      <x:c r="A271"/>
      <x:c r="B271" s="1" t="s">
        <x:v>277</x:v>
      </x:c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5"/>
      <x:c r="X271" s="6"/>
      <x:c r="Y271"/>
    </x:row>
    <x:row r="272">
      <x:c r="A272"/>
      <x:c r="B272" s="55" t="s">
        <x:v>278</x:v>
      </x:c>
      <x:c r="C272" s="55"/>
      <x:c r="D272" s="55"/>
      <x:c r="E272" s="55"/>
      <x:c r="F272" s="55"/>
      <x:c r="G272" s="55"/>
      <x:c r="H272" s="55"/>
      <x:c r="I272" s="55"/>
      <x:c r="J272" s="55"/>
      <x:c r="K272" s="55"/>
      <x:c r="L272" s="55"/>
      <x:c r="M272" s="55"/>
      <x:c r="N272" s="55"/>
      <x:c r="O272" s="55"/>
      <x:c r="P272" s="55"/>
      <x:c r="Q272" s="55"/>
      <x:c r="R272" s="55"/>
      <x:c r="S272" s="55"/>
      <x:c r="T272" s="55"/>
      <x:c r="U272" s="55"/>
      <x:c r="V272" s="55"/>
      <x:c r="W272" s="55"/>
      <x:c r="X272" s="55"/>
      <x:c r="Y272" s="55"/>
    </x:row>
    <x:row r="273">
      <x:c r="A273"/>
      <x:c r="B273" s="56" t="s">
        <x:v>279</x:v>
      </x:c>
      <x:c r="C273" s="56"/>
      <x:c r="D273" s="56"/>
      <x:c r="E273" s="56"/>
      <x:c r="F273" s="56"/>
      <x:c r="G273" s="56"/>
      <x:c r="H273" s="56"/>
      <x:c r="I273" s="56"/>
      <x:c r="J273" s="56"/>
      <x:c r="K273" s="56"/>
      <x:c r="L273" s="56"/>
      <x:c r="M273" s="56"/>
      <x:c r="N273" s="56"/>
      <x:c r="O273" s="56"/>
      <x:c r="P273" s="56"/>
      <x:c r="Q273" s="56"/>
      <x:c r="R273" s="56"/>
      <x:c r="S273" s="56"/>
      <x:c r="T273" s="56"/>
      <x:c r="U273" s="56"/>
      <x:c r="V273" s="56"/>
      <x:c r="W273" s="56"/>
      <x:c r="X273" s="56"/>
      <x:c r="Y273" s="56"/>
    </x:row>
  </x:sheetData>
  <x:conditionalFormatting sqref="B3:Y273">
    <x:cfRule type="expression" dxfId="1" priority="1">
      <x:formula>MOD(ROW(),2)=0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tabSelected="1" workbookViewId="0">
      <x:pane xSplit="2" ySplit="17" topLeftCell="C18" activePane="bottomRight" state="frozen"/>
      <x:selection pane="topRight" activeCell="C1" sqref="C1"/>
      <x:selection pane="bottomLeft" activeCell="A6" sqref="A6"/>
      <x:selection pane="bottomRight" activeCell="B186" sqref="B186"/>
    </x:sheetView>
  </x:sheetViews>
  <x:sheetFormatPr defaultColWidth="15.08984375" defaultRowHeight="12"/>
  <x:cols>
    <x:col min="1" max="1" width="3.81640625" style="13" customWidth="1"/>
    <x:col min="2" max="2" width="58.81640625" style="13" customWidth="1"/>
    <x:col min="3" max="3" width="13.6328125" style="13" customWidth="1"/>
    <x:col min="4" max="4" width="15.08984375" style="13" hidden="1" customWidth="1"/>
    <x:col min="5" max="21" width="15.08984375" style="14" hidden="1" customWidth="1"/>
    <x:col min="22" max="22" width="0" style="13" hidden="1" customWidth="1"/>
    <x:col min="23" max="16384" width="15.08984375" style="13" customWidth="0"/>
  </x:cols>
  <x:sheetData>
    <x:row r="1" hidden="1"/>
    <x:row r="2" hidden="1"/>
    <x:row r="3" hidden="1"/>
    <x:row r="4" hidden="1"/>
    <x:row r="5" hidden="1"/>
    <x:row r="6" hidden="1"/>
    <x:row r="7" hidden="1"/>
    <x:row r="8" hidden="1"/>
    <x:row r="9" hidden="1"/>
    <x:row r="10" hidden="1"/>
    <x:row r="11" hidden="1"/>
    <x:row r="12" hidden="1"/>
    <x:row r="14">
      <x:c r="B14" s="15" t="s">
        <x:v>280</x:v>
      </x:c>
      <x:c r="C14" s="15"/>
    </x:row>
    <x:row r="16">
      <x:c r="B16" s="16"/>
    </x:row>
    <x:row r="17">
      <x:c r="C17" s="17" t="n">
        <x:f>COA!C2</x:f>
        <x:v>0</x:v>
      </x:c>
    </x:row>
    <x:row r="18">
      <x:c r="C18" s="18"/>
    </x:row>
    <x:row r="19">
      <x:c r="B19" s="13" t="s">
        <x:v>281</x:v>
      </x:c>
      <x:c r="C19" s="19" t="n">
        <x:f>C20/365</x:f>
        <x:v>0</x:v>
      </x:c>
    </x:row>
    <x:row r="20">
      <x:c r="B20" s="13" t="s">
        <x:v>282</x:v>
      </x:c>
      <x:c r="C20" s="19" t="n">
        <x:f>COA!C3</x:f>
        <x:v>0</x:v>
      </x:c>
    </x:row>
    <x:row r="21">
      <x:c r="B21" s="13" t="s">
        <x:v>283</x:v>
      </x:c>
      <x:c r="C21" s="19" t="n">
        <x:f>COA!C4</x:f>
        <x:v>0</x:v>
      </x:c>
    </x:row>
    <x:row r="22" hidden="1">
      <x:c r="C22" s="19"/>
    </x:row>
    <x:row r="23" hidden="1">
      <x:c r="C23" s="19"/>
    </x:row>
    <x:row r="24" hidden="1">
      <x:c r="C24" s="19"/>
    </x:row>
    <x:row r="25" hidden="1">
      <x:c r="C25" s="19"/>
    </x:row>
    <x:row r="26" hidden="1">
      <x:c r="C26" s="19"/>
    </x:row>
    <x:row r="27" hidden="1">
      <x:c r="C27" s="19"/>
    </x:row>
    <x:row r="29">
      <x:c r="B29" s="20" t="s">
        <x:v>284</x:v>
      </x:c>
      <x:c r="C29" s="21" t="n">
        <x:f>COA!C5</x:f>
        <x:v>0</x:v>
      </x:c>
    </x:row>
    <x:row r="30">
      <x:c r="B30" s="20" t="s">
        <x:v>285</x:v>
      </x:c>
      <x:c r="C30" s="22" t="n">
        <x:f>COA!C6</x:f>
        <x:v>0</x:v>
      </x:c>
    </x:row>
    <x:row r="31">
      <x:c r="B31" s="20" t="s">
        <x:v>286</x:v>
      </x:c>
      <x:c r="C31" s="23" t="n">
        <x:f>C29*C30</x:f>
        <x:v>0</x:v>
      </x:c>
    </x:row>
    <x:row r="32">
      <x:c r="B32" s="20" t="s">
        <x:v>287</x:v>
      </x:c>
      <x:c r="C32" s="23" t="e">
        <x:f>C61/C20</x:f>
        <x:v>#DIV/0!</x:v>
      </x:c>
    </x:row>
    <x:row r="33">
      <x:c r="B33" s="20" t="s">
        <x:v>288</x:v>
      </x:c>
      <x:c r="C33" s="23" t="e">
        <x:f>C217/C20</x:f>
        <x:v>#DIV/0!</x:v>
      </x:c>
    </x:row>
    <x:row r="34">
      <x:c r="B34" s="20"/>
      <x:c r="C34" s="24"/>
    </x:row>
    <x:row r="35">
      <x:c r="B35" s="25" t="s">
        <x:v>289</x:v>
      </x:c>
    </x:row>
    <x:row r="36">
      <x:c r="B36" s="26" t="s">
        <x:v>290</x:v>
      </x:c>
      <x:c r="C36" s="27" t="n">
        <x:f>COA!C8</x:f>
        <x:v>0</x:v>
      </x:c>
    </x:row>
    <x:row r="37">
      <x:c r="B37" s="26" t="s">
        <x:v>291</x:v>
      </x:c>
      <x:c r="C37" s="28" t="n">
        <x:f>SUM(C38:C46)</x:f>
        <x:v>0</x:v>
      </x:c>
    </x:row>
    <x:row r="38">
      <x:c r="B38" s="29" t="s">
        <x:v>292</x:v>
      </x:c>
      <x:c r="C38" s="27">
        <x:v>0</x:v>
      </x:c>
    </x:row>
    <x:row r="39">
      <x:c r="B39" s="29" t="s">
        <x:v>293</x:v>
      </x:c>
      <x:c r="C39" s="27" t="n">
        <x:f>SUM(COA!C97,COA!C112)</x:f>
        <x:v>0</x:v>
      </x:c>
    </x:row>
    <x:row r="40">
      <x:c r="B40" s="29" t="n">
        <x:f>COA!Y86</x:f>
        <x:v>0</x:v>
      </x:c>
      <x:c r="C40" s="27" t="n">
        <x:f>SUM(COA!C86,COA!C101)</x:f>
        <x:v>0</x:v>
      </x:c>
    </x:row>
    <x:row r="41">
      <x:c r="B41" s="29" t="n">
        <x:f>COA!Y87</x:f>
        <x:v>0</x:v>
      </x:c>
      <x:c r="C41" s="27" t="n">
        <x:f>SUM(COA!C87,COA!C102)</x:f>
        <x:v>0</x:v>
      </x:c>
    </x:row>
    <x:row r="42">
      <x:c r="B42" s="29" t="n">
        <x:f>COA!Y88</x:f>
        <x:v>0</x:v>
      </x:c>
      <x:c r="C42" s="27" t="n">
        <x:f>SUM(COA!C88,COA!C103)</x:f>
        <x:v>0</x:v>
      </x:c>
    </x:row>
    <x:row r="43">
      <x:c r="B43" s="29" t="n">
        <x:f>COA!Y89</x:f>
        <x:v>0</x:v>
      </x:c>
      <x:c r="C43" s="27" t="n">
        <x:f>SUM(COA!C89,COA!C104)</x:f>
        <x:v>0</x:v>
      </x:c>
    </x:row>
    <x:row r="44">
      <x:c r="B44" s="29" t="s">
        <x:v>294</x:v>
      </x:c>
      <x:c r="C44" s="27" t="n">
        <x:f>SUM(COA!C90:C93,COA!C105:C108,COA!C98:C97,COA!C113:C112)</x:f>
        <x:v>0</x:v>
      </x:c>
    </x:row>
    <x:row r="45">
      <x:c r="B45" s="29" t="s">
        <x:v>295</x:v>
      </x:c>
      <x:c r="C45" s="27" t="n">
        <x:f>SUM(COA!C96,COA!C111)</x:f>
        <x:v>0</x:v>
      </x:c>
    </x:row>
    <x:row r="46">
      <x:c r="B46" s="29" t="s">
        <x:v>296</x:v>
      </x:c>
      <x:c r="C46" s="27" t="n">
        <x:f>COA!C9-SUM('KHP Model Accounts'!C38:C45)</x:f>
        <x:v>0</x:v>
      </x:c>
    </x:row>
    <x:row r="47">
      <x:c r="B47" s="26" t="s">
        <x:v>297</x:v>
      </x:c>
      <x:c r="C47" s="27" t="n">
        <x:f>COA!C146</x:f>
        <x:v>0</x:v>
      </x:c>
    </x:row>
    <x:row r="48">
      <x:c r="B48" s="26" t="s">
        <x:v>298</x:v>
      </x:c>
      <x:c r="C48" s="28" t="n">
        <x:f>SUM(C49:C50)</x:f>
        <x:v>0</x:v>
      </x:c>
    </x:row>
    <x:row r="49">
      <x:c r="B49" s="29" t="s">
        <x:v>299</x:v>
      </x:c>
      <x:c r="C49" s="27" t="n">
        <x:f>COA!C153-'KHP Model Accounts'!C50</x:f>
        <x:v>0</x:v>
      </x:c>
    </x:row>
    <x:row r="50">
      <x:c r="B50" s="29" t="s">
        <x:v>300</x:v>
      </x:c>
      <x:c r="C50" s="27" t="n">
        <x:f>COA!C151</x:f>
        <x:v>0</x:v>
      </x:c>
    </x:row>
    <x:row r="51">
      <x:c r="B51" s="26" t="s">
        <x:v>301</x:v>
      </x:c>
      <x:c r="C51" s="27" t="n">
        <x:f>COA!C158</x:f>
        <x:v>0</x:v>
      </x:c>
    </x:row>
    <x:row r="52">
      <x:c r="B52" s="26" t="s">
        <x:v>302</x:v>
      </x:c>
      <x:c r="C52" s="28" t="n">
        <x:f>SUM(C53:C55)</x:f>
        <x:v>0</x:v>
      </x:c>
    </x:row>
    <x:row r="53">
      <x:c r="B53" s="30" t="s">
        <x:v>303</x:v>
      </x:c>
      <x:c r="C53" s="27" t="n">
        <x:f>COA!C163</x:f>
        <x:v>0</x:v>
      </x:c>
    </x:row>
    <x:row r="54">
      <x:c r="B54" s="30" t="s">
        <x:v>304</x:v>
      </x:c>
      <x:c r="C54" s="27" t="n">
        <x:f>COA!C167</x:f>
        <x:v>0</x:v>
      </x:c>
    </x:row>
    <x:row r="55">
      <x:c r="B55" s="30" t="s">
        <x:v>305</x:v>
      </x:c>
      <x:c r="C55" s="27" t="n">
        <x:f>COA!C10-SUM('KHP Model Accounts'!C53:C54,'KHP Model Accounts'!C47:C48,C51)</x:f>
        <x:v>0</x:v>
      </x:c>
    </x:row>
    <x:row r="56">
      <x:c r="B56" s="26" t="s">
        <x:v>306</x:v>
      </x:c>
      <x:c r="C56" s="28" t="n">
        <x:f>SUM(C57:C59)</x:f>
        <x:v>0</x:v>
      </x:c>
    </x:row>
    <x:row r="57">
      <x:c r="B57" s="29" t="s">
        <x:v>307</x:v>
      </x:c>
      <x:c r="C57" s="27" t="n">
        <x:f>COA!C174</x:f>
        <x:v>0</x:v>
      </x:c>
    </x:row>
    <x:row r="58">
      <x:c r="B58" s="29" t="s">
        <x:v>308</x:v>
      </x:c>
      <x:c r="C58" s="27" t="n">
        <x:f>COA!C175</x:f>
        <x:v>0</x:v>
      </x:c>
    </x:row>
    <x:row r="59">
      <x:c r="B59" s="29" t="s">
        <x:v>309</x:v>
      </x:c>
      <x:c r="C59" s="27" t="n">
        <x:f>COA!C11-SUM('KHP Model Accounts'!C57:C58)</x:f>
        <x:v>0</x:v>
      </x:c>
    </x:row>
    <x:row r="60">
      <x:c r="B60" s="20"/>
    </x:row>
    <x:row r="61">
      <x:c r="B61" s="31" t="s">
        <x:v>310</x:v>
      </x:c>
      <x:c r="C61" s="32" t="n">
        <x:f>SUM(C56,C51:C52,C47:C48,C36:C37)</x:f>
        <x:v>0</x:v>
      </x:c>
    </x:row>
    <x:row r="62">
      <x:c r="B62" s="31" t="s">
        <x:v>311</x:v>
      </x:c>
      <x:c r="C62" s="33" t="e">
        <x:f>C61/C21</x:f>
        <x:v>#DIV/0!</x:v>
      </x:c>
    </x:row>
    <x:row r="63">
      <x:c r="B63" s="20"/>
    </x:row>
    <x:row r="64">
      <x:c r="B64" s="25" t="s">
        <x:v>312</x:v>
      </x:c>
    </x:row>
    <x:row r="65">
      <x:c r="B65" s="26" t="s">
        <x:v>290</x:v>
      </x:c>
    </x:row>
    <x:row r="66">
      <x:c r="B66" s="34" t="s">
        <x:v>313</x:v>
      </x:c>
      <x:c r="C66" s="27" t="n">
        <x:f>SUM(COA!C63,COA!C65)</x:f>
        <x:v>0</x:v>
      </x:c>
    </x:row>
    <x:row r="67">
      <x:c r="B67" s="34" t="s">
        <x:v>314</x:v>
      </x:c>
      <x:c r="C67" s="35" t="n">
        <x:f>C68-C66</x:f>
        <x:v>0</x:v>
      </x:c>
    </x:row>
    <x:row r="68">
      <x:c r="B68" s="29" t="s">
        <x:v>315</x:v>
      </x:c>
      <x:c r="C68" s="27" t="n">
        <x:f>COA!C70</x:f>
        <x:v>0</x:v>
      </x:c>
    </x:row>
    <x:row r="69">
      <x:c r="B69" s="34" t="s">
        <x:v>316</x:v>
      </x:c>
      <x:c r="C69" s="27" t="n">
        <x:f>SUM(COA!C71)</x:f>
        <x:v>0</x:v>
      </x:c>
    </x:row>
    <x:row r="70">
      <x:c r="B70" s="34" t="s">
        <x:v>317</x:v>
      </x:c>
      <x:c r="C70" s="27" t="n">
        <x:f>COA!C82</x:f>
        <x:v>0</x:v>
      </x:c>
    </x:row>
    <x:row r="71">
      <x:c r="B71" s="34" t="s">
        <x:v>318</x:v>
      </x:c>
      <x:c r="C71" s="27" t="n">
        <x:f>COA!C77</x:f>
        <x:v>0</x:v>
      </x:c>
    </x:row>
    <x:row r="72">
      <x:c r="B72" s="34" t="s">
        <x:v>319</x:v>
      </x:c>
      <x:c r="C72" s="27" t="n">
        <x:f>COA!C72</x:f>
        <x:v>0</x:v>
      </x:c>
    </x:row>
    <x:row r="73">
      <x:c r="B73" s="34" t="s">
        <x:v>320</x:v>
      </x:c>
      <x:c r="C73" s="27" t="n">
        <x:f>COA!C78</x:f>
        <x:v>0</x:v>
      </x:c>
    </x:row>
    <x:row r="74">
      <x:c r="B74" s="34" t="s">
        <x:v>321</x:v>
      </x:c>
      <x:c r="C74" s="35" t="n">
        <x:f>C75-SUM(C69:C73)</x:f>
        <x:v>0</x:v>
      </x:c>
    </x:row>
    <x:row r="75">
      <x:c r="B75" s="29" t="s">
        <x:v>322</x:v>
      </x:c>
      <x:c r="C75" s="27" t="n">
        <x:f>COA!C13-'KHP Model Accounts'!C68</x:f>
        <x:v>0</x:v>
      </x:c>
    </x:row>
    <x:row r="76">
      <x:c r="B76" s="26" t="s">
        <x:v>323</x:v>
      </x:c>
      <x:c r="C76" s="36" t="n">
        <x:f>C75+C68</x:f>
        <x:v>0</x:v>
      </x:c>
    </x:row>
    <x:row r="77">
      <x:c r="B77" s="26" t="s">
        <x:v>324</x:v>
      </x:c>
      <x:c r="C77" s="37" t="e">
        <x:f>C76/C36</x:f>
        <x:v>#DIV/0!</x:v>
      </x:c>
    </x:row>
    <x:row r="78">
      <x:c r="B78" s="26" t="s">
        <x:v>325</x:v>
      </x:c>
      <x:c r="C78" s="38" t="e">
        <x:f>C76/C20</x:f>
        <x:v>#DIV/0!</x:v>
      </x:c>
    </x:row>
    <x:row r="79">
      <x:c r="B79" s="26"/>
    </x:row>
    <x:row r="80">
      <x:c r="B80" s="26" t="s">
        <x:v>291</x:v>
      </x:c>
      <x:c r="C80" s="39" t="n">
        <x:f>SUM(C81:C83)</x:f>
        <x:v>0</x:v>
      </x:c>
    </x:row>
    <x:row r="81">
      <x:c r="B81" s="40" t="s">
        <x:v>326</x:v>
      </x:c>
      <x:c r="C81" s="27" t="n">
        <x:f>COA!C128</x:f>
        <x:v>0</x:v>
      </x:c>
    </x:row>
    <x:row r="82">
      <x:c r="B82" s="40" t="s">
        <x:v>327</x:v>
      </x:c>
      <x:c r="C82" s="27" t="n">
        <x:f>COA!C143</x:f>
        <x:v>0</x:v>
      </x:c>
    </x:row>
    <x:row r="83">
      <x:c r="B83" s="40" t="s">
        <x:v>328</x:v>
      </x:c>
      <x:c r="C83" s="27" t="n">
        <x:f>COA!C14-SUM('KHP Model Accounts'!C81:C82)</x:f>
        <x:v>0</x:v>
      </x:c>
    </x:row>
    <x:row r="84" hidden="1">
      <x:c r="B84" s="41" t="s">
        <x:v>292</x:v>
      </x:c>
      <x:c r="C84" s="42" t="n">
        <x:f>+SUM(C85:C87)</x:f>
        <x:v>0</x:v>
      </x:c>
    </x:row>
    <x:row r="85" hidden="1">
      <x:c r="B85" s="43" t="s">
        <x:v>329</x:v>
      </x:c>
      <x:c r="C85" s="44">
        <x:v>0</x:v>
      </x:c>
    </x:row>
    <x:row r="86" hidden="1">
      <x:c r="B86" s="43" t="s">
        <x:v>330</x:v>
      </x:c>
      <x:c r="C86" s="44">
        <x:v>0</x:v>
      </x:c>
    </x:row>
    <x:row r="87" hidden="1">
      <x:c r="B87" s="43" t="s">
        <x:v>331</x:v>
      </x:c>
      <x:c r="C87" s="44">
        <x:v>0</x:v>
      </x:c>
    </x:row>
    <x:row r="88" hidden="1">
      <x:c r="B88" s="41" t="s">
        <x:v>293</x:v>
      </x:c>
      <x:c r="C88" s="42" t="n">
        <x:f>+SUM(C89:C91)</x:f>
        <x:v>0</x:v>
      </x:c>
    </x:row>
    <x:row r="89" hidden="1">
      <x:c r="B89" s="43" t="s">
        <x:v>332</x:v>
      </x:c>
      <x:c r="C89" s="44">
        <x:v>0</x:v>
      </x:c>
    </x:row>
    <x:row r="90" hidden="1">
      <x:c r="B90" s="43" t="s">
        <x:v>333</x:v>
      </x:c>
      <x:c r="C90" s="44">
        <x:v>0</x:v>
      </x:c>
    </x:row>
    <x:row r="91" hidden="1">
      <x:c r="B91" s="43" t="s">
        <x:v>334</x:v>
      </x:c>
      <x:c r="C91" s="44">
        <x:v>0</x:v>
      </x:c>
    </x:row>
    <x:row r="92" hidden="1">
      <x:c r="B92" s="41" t="s">
        <x:v>335</x:v>
      </x:c>
      <x:c r="C92" s="42" t="n">
        <x:f>+SUM(C93:C95)</x:f>
        <x:v>0</x:v>
      </x:c>
    </x:row>
    <x:row r="93" hidden="1">
      <x:c r="B93" s="43" t="s">
        <x:v>336</x:v>
      </x:c>
      <x:c r="C93" s="44">
        <x:v>0</x:v>
      </x:c>
    </x:row>
    <x:row r="94" hidden="1">
      <x:c r="B94" s="43" t="s">
        <x:v>337</x:v>
      </x:c>
      <x:c r="C94" s="44">
        <x:v>0</x:v>
      </x:c>
    </x:row>
    <x:row r="95" hidden="1">
      <x:c r="B95" s="43" t="s">
        <x:v>338</x:v>
      </x:c>
      <x:c r="C95" s="44">
        <x:v>0</x:v>
      </x:c>
    </x:row>
    <x:row r="96" hidden="1">
      <x:c r="B96" s="41" t="s">
        <x:v>339</x:v>
      </x:c>
      <x:c r="C96" s="42" t="n">
        <x:f>+SUM(C97:C99)</x:f>
        <x:v>0</x:v>
      </x:c>
    </x:row>
    <x:row r="97" hidden="1">
      <x:c r="B97" s="43" t="s">
        <x:v>340</x:v>
      </x:c>
      <x:c r="C97" s="44">
        <x:v>0</x:v>
      </x:c>
    </x:row>
    <x:row r="98" hidden="1">
      <x:c r="B98" s="43" t="s">
        <x:v>341</x:v>
      </x:c>
      <x:c r="C98" s="44">
        <x:v>0</x:v>
      </x:c>
    </x:row>
    <x:row r="99" hidden="1">
      <x:c r="B99" s="43" t="s">
        <x:v>342</x:v>
      </x:c>
      <x:c r="C99" s="44">
        <x:v>0</x:v>
      </x:c>
    </x:row>
    <x:row r="100" hidden="1">
      <x:c r="B100" s="41" t="s">
        <x:v>343</x:v>
      </x:c>
      <x:c r="C100" s="42" t="n">
        <x:f>+SUM(C101:C103)</x:f>
        <x:v>0</x:v>
      </x:c>
    </x:row>
    <x:row r="101" hidden="1">
      <x:c r="B101" s="43" t="s">
        <x:v>344</x:v>
      </x:c>
      <x:c r="C101" s="44">
        <x:v>0</x:v>
      </x:c>
    </x:row>
    <x:row r="102" hidden="1">
      <x:c r="B102" s="43" t="s">
        <x:v>345</x:v>
      </x:c>
      <x:c r="C102" s="44">
        <x:v>0</x:v>
      </x:c>
    </x:row>
    <x:row r="103" hidden="1">
      <x:c r="B103" s="43" t="s">
        <x:v>346</x:v>
      </x:c>
      <x:c r="C103" s="44">
        <x:v>0</x:v>
      </x:c>
    </x:row>
    <x:row r="104" hidden="1">
      <x:c r="B104" s="41" t="s">
        <x:v>347</x:v>
      </x:c>
      <x:c r="C104" s="42" t="n">
        <x:f>+SUM(C105:C107)</x:f>
        <x:v>0</x:v>
      </x:c>
    </x:row>
    <x:row r="105" hidden="1">
      <x:c r="B105" s="43" t="s">
        <x:v>348</x:v>
      </x:c>
      <x:c r="C105" s="44">
        <x:v>0</x:v>
      </x:c>
    </x:row>
    <x:row r="106" hidden="1">
      <x:c r="B106" s="43" t="s">
        <x:v>349</x:v>
      </x:c>
      <x:c r="C106" s="44">
        <x:v>0</x:v>
      </x:c>
    </x:row>
    <x:row r="107" hidden="1">
      <x:c r="B107" s="43" t="s">
        <x:v>350</x:v>
      </x:c>
      <x:c r="C107" s="44">
        <x:v>0</x:v>
      </x:c>
    </x:row>
    <x:row r="108" hidden="1">
      <x:c r="B108" s="41" t="s">
        <x:v>351</x:v>
      </x:c>
      <x:c r="C108" s="42" t="n">
        <x:f>+SUM(C109:C111)</x:f>
        <x:v>0</x:v>
      </x:c>
    </x:row>
    <x:row r="109" hidden="1">
      <x:c r="B109" s="43" t="s">
        <x:v>352</x:v>
      </x:c>
      <x:c r="C109" s="44">
        <x:v>0</x:v>
      </x:c>
    </x:row>
    <x:row r="110" hidden="1">
      <x:c r="B110" s="43" t="s">
        <x:v>353</x:v>
      </x:c>
      <x:c r="C110" s="44">
        <x:v>0</x:v>
      </x:c>
    </x:row>
    <x:row r="111" hidden="1">
      <x:c r="B111" s="43" t="s">
        <x:v>354</x:v>
      </x:c>
      <x:c r="C111" s="44">
        <x:v>0</x:v>
      </x:c>
    </x:row>
    <x:row r="112" hidden="1">
      <x:c r="B112" s="41" t="s">
        <x:v>295</x:v>
      </x:c>
      <x:c r="C112" s="42" t="n">
        <x:f>+SUM(C113:C115)</x:f>
        <x:v>0</x:v>
      </x:c>
    </x:row>
    <x:row r="113" hidden="1">
      <x:c r="B113" s="45" t="s">
        <x:v>355</x:v>
      </x:c>
      <x:c r="C113" s="44">
        <x:v>0</x:v>
      </x:c>
    </x:row>
    <x:row r="114" hidden="1">
      <x:c r="B114" s="45" t="s">
        <x:v>356</x:v>
      </x:c>
      <x:c r="C114" s="44">
        <x:v>0</x:v>
      </x:c>
    </x:row>
    <x:row r="115" hidden="1">
      <x:c r="B115" s="45" t="s">
        <x:v>357</x:v>
      </x:c>
      <x:c r="C115" s="44">
        <x:v>0</x:v>
      </x:c>
    </x:row>
    <x:row r="116" hidden="1">
      <x:c r="B116" s="41" t="s">
        <x:v>358</x:v>
      </x:c>
      <x:c r="C116" s="44">
        <x:v>0</x:v>
      </x:c>
    </x:row>
    <x:row r="117">
      <x:c r="B117" s="26" t="s">
        <x:v>297</x:v>
      </x:c>
      <x:c r="C117" s="39" t="n">
        <x:f>SUM(C118:C120)</x:f>
        <x:v>0</x:v>
      </x:c>
    </x:row>
    <x:row r="118">
      <x:c r="B118" s="29" t="s">
        <x:v>359</x:v>
      </x:c>
      <x:c r="C118" s="27" t="n">
        <x:f>COA!C147</x:f>
        <x:v>0</x:v>
      </x:c>
    </x:row>
    <x:row r="119">
      <x:c r="B119" s="29" t="s">
        <x:v>360</x:v>
      </x:c>
      <x:c r="C119" s="27" t="n">
        <x:f>COA!C148</x:f>
        <x:v>0</x:v>
      </x:c>
    </x:row>
    <x:row r="120">
      <x:c r="B120" s="29" t="s">
        <x:v>361</x:v>
      </x:c>
      <x:c r="C120" s="27" t="n">
        <x:f>COA!C150-SUM('KHP Model Accounts'!C118:C119)</x:f>
        <x:v>0</x:v>
      </x:c>
    </x:row>
    <x:row r="121">
      <x:c r="B121" s="26" t="s">
        <x:v>298</x:v>
      </x:c>
      <x:c r="C121" s="39" t="n">
        <x:f>SUM(C122:C124)</x:f>
        <x:v>0</x:v>
      </x:c>
    </x:row>
    <x:row r="122">
      <x:c r="B122" s="29" t="s">
        <x:v>362</x:v>
      </x:c>
      <x:c r="C122" s="27" t="n">
        <x:f>COA!C154</x:f>
        <x:v>0</x:v>
      </x:c>
    </x:row>
    <x:row r="123">
      <x:c r="B123" s="29" t="s">
        <x:v>363</x:v>
      </x:c>
      <x:c r="C123" s="27" t="n">
        <x:f>COA!C155</x:f>
        <x:v>0</x:v>
      </x:c>
    </x:row>
    <x:row r="124">
      <x:c r="B124" s="29" t="s">
        <x:v>364</x:v>
      </x:c>
      <x:c r="C124" s="27" t="n">
        <x:f>COA!C157-SUM('KHP Model Accounts'!C122:C123)</x:f>
        <x:v>0</x:v>
      </x:c>
    </x:row>
    <x:row r="125">
      <x:c r="B125" s="29" t="s">
        <x:v>365</x:v>
      </x:c>
      <x:c r="C125" s="27">
        <x:v>0</x:v>
      </x:c>
    </x:row>
    <x:row r="126">
      <x:c r="B126" s="26" t="s">
        <x:v>301</x:v>
      </x:c>
      <x:c r="C126" s="39" t="n">
        <x:f>SUM(C127:C129)</x:f>
        <x:v>0</x:v>
      </x:c>
    </x:row>
    <x:row r="127">
      <x:c r="B127" s="29" t="s">
        <x:v>366</x:v>
      </x:c>
      <x:c r="C127" s="27" t="n">
        <x:f>COA!C159</x:f>
        <x:v>0</x:v>
      </x:c>
    </x:row>
    <x:row r="128">
      <x:c r="B128" s="29" t="s">
        <x:v>367</x:v>
      </x:c>
      <x:c r="C128" s="27" t="n">
        <x:f>COA!C160</x:f>
        <x:v>0</x:v>
      </x:c>
    </x:row>
    <x:row r="129">
      <x:c r="B129" s="29" t="s">
        <x:v>368</x:v>
      </x:c>
      <x:c r="C129" s="27" t="n">
        <x:f>COA!C162-SUM('KHP Model Accounts'!C127:C128)</x:f>
        <x:v>0</x:v>
      </x:c>
    </x:row>
    <x:row r="130">
      <x:c r="B130" s="26" t="s">
        <x:v>302</x:v>
      </x:c>
      <x:c r="C130" s="28" t="n">
        <x:f>SUM(C131:C133)</x:f>
        <x:v>0</x:v>
      </x:c>
    </x:row>
    <x:row r="131">
      <x:c r="B131" s="29" t="str">
        <x:f>B53</x:f>
        <x:v>Recreation</x:v>
      </x:c>
      <x:c r="C131" s="27" t="n">
        <x:f>COA!C164</x:f>
        <x:v>0</x:v>
      </x:c>
    </x:row>
    <x:row r="132">
      <x:c r="B132" s="29" t="str">
        <x:f>B54</x:f>
        <x:v>Golf</x:v>
      </x:c>
      <x:c r="C132" s="27" t="n">
        <x:f>COA!C168</x:f>
        <x:v>0</x:v>
      </x:c>
    </x:row>
    <x:row r="133">
      <x:c r="B133" s="29" t="str">
        <x:f>B55</x:f>
        <x:v>All Other OOD</x:v>
      </x:c>
      <x:c r="C133" s="27" t="n">
        <x:f>COA!C15-SUM('KHP Model Accounts'!C131:C132,'KHP Model Accounts'!C126,'KHP Model Accounts'!C121,'KHP Model Accounts'!C117)</x:f>
        <x:v>0</x:v>
      </x:c>
    </x:row>
    <x:row r="134">
      <x:c r="B134" s="26" t="s">
        <x:v>306</x:v>
      </x:c>
      <x:c r="C134" s="27">
        <x:v>0</x:v>
      </x:c>
    </x:row>
    <x:row r="135">
      <x:c r="B135" s="20"/>
    </x:row>
    <x:row r="136">
      <x:c r="B136" s="25" t="s">
        <x:v>369</x:v>
      </x:c>
      <x:c r="C136" s="32" t="n">
        <x:f>SUM(C130,C126,C121,C117,C80,C76)</x:f>
        <x:v>0</x:v>
      </x:c>
    </x:row>
    <x:row r="137">
      <x:c r="B137" s="25" t="s">
        <x:v>370</x:v>
      </x:c>
      <x:c r="C137" s="46" t="e">
        <x:f>C136/C61</x:f>
        <x:v>#DIV/0!</x:v>
      </x:c>
    </x:row>
    <x:row r="138">
      <x:c r="B138" s="20"/>
    </x:row>
    <x:row r="139">
      <x:c r="B139" s="25" t="s">
        <x:v>371</x:v>
      </x:c>
      <x:c r="C139" s="32" t="n">
        <x:f>C61-C136</x:f>
        <x:v>0</x:v>
      </x:c>
    </x:row>
    <x:row r="140">
      <x:c r="B140" s="25" t="s">
        <x:v>372</x:v>
      </x:c>
      <x:c r="C140" s="47" t="e">
        <x:f>C139/C61</x:f>
        <x:v>#DIV/0!</x:v>
      </x:c>
    </x:row>
    <x:row r="141">
      <x:c r="B141" s="25" t="s">
        <x:v>373</x:v>
      </x:c>
      <x:c r="C141" s="33" t="e">
        <x:f>C139/C20</x:f>
        <x:v>#DIV/0!</x:v>
      </x:c>
    </x:row>
    <x:row r="142">
      <x:c r="B142" s="20"/>
    </x:row>
    <x:row r="143">
      <x:c r="B143" s="25" t="s">
        <x:v>374</x:v>
      </x:c>
    </x:row>
    <x:row r="144">
      <x:c r="B144" s="26" t="s">
        <x:v>375</x:v>
      </x:c>
    </x:row>
    <x:row r="145">
      <x:c r="B145" s="43" t="s">
        <x:v>376</x:v>
      </x:c>
      <x:c r="C145" s="27" t="n">
        <x:f>COA!C178+COA!C180</x:f>
        <x:v>0</x:v>
      </x:c>
    </x:row>
    <x:row r="146">
      <x:c r="B146" s="43" t="s">
        <x:v>314</x:v>
      </x:c>
      <x:c r="C146" s="35" t="n">
        <x:f>C147-C145</x:f>
        <x:v>0</x:v>
      </x:c>
    </x:row>
    <x:row r="147">
      <x:c r="B147" s="41" t="s">
        <x:v>377</x:v>
      </x:c>
      <x:c r="C147" s="27" t="n">
        <x:f>COA!C185</x:f>
        <x:v>0</x:v>
      </x:c>
    </x:row>
    <x:row r="148">
      <x:c r="B148" s="43" t="s">
        <x:v>378</x:v>
      </x:c>
      <x:c r="C148" s="27" t="n">
        <x:f>COA!C192</x:f>
        <x:v>0</x:v>
      </x:c>
    </x:row>
    <x:row r="149">
      <x:c r="B149" s="43" t="s">
        <x:v>379</x:v>
      </x:c>
      <x:c r="C149" s="27" t="n">
        <x:f>COA!C191</x:f>
        <x:v>0</x:v>
      </x:c>
    </x:row>
    <x:row r="150">
      <x:c r="B150" s="43" t="s">
        <x:v>380</x:v>
      </x:c>
      <x:c r="C150" s="27" t="n">
        <x:f>COA!C193</x:f>
        <x:v>0</x:v>
      </x:c>
    </x:row>
    <x:row r="151">
      <x:c r="B151" s="43" t="s">
        <x:v>381</x:v>
      </x:c>
      <x:c r="C151" s="27" t="n">
        <x:f>COA!C194</x:f>
        <x:v>0</x:v>
      </x:c>
    </x:row>
    <x:row r="152">
      <x:c r="B152" s="43" t="s">
        <x:v>382</x:v>
      </x:c>
      <x:c r="C152" s="35" t="n">
        <x:f>C153-SUM(C148:C151)</x:f>
        <x:v>0</x:v>
      </x:c>
    </x:row>
    <x:row r="153">
      <x:c r="B153" s="41" t="s">
        <x:v>383</x:v>
      </x:c>
      <x:c r="C153" s="27" t="n">
        <x:f>COA!C18-'KHP Model Accounts'!C147</x:f>
        <x:v>0</x:v>
      </x:c>
    </x:row>
    <x:row r="154">
      <x:c r="B154" s="26" t="s">
        <x:v>384</x:v>
      </x:c>
      <x:c r="C154" s="36" t="n">
        <x:f>C153+C147</x:f>
        <x:v>0</x:v>
      </x:c>
    </x:row>
    <x:row r="155">
      <x:c r="B155" s="26" t="s">
        <x:v>385</x:v>
      </x:c>
      <x:c r="C155" s="37" t="e">
        <x:f>C154/C$61</x:f>
        <x:v>#DIV/0!</x:v>
      </x:c>
    </x:row>
    <x:row r="156">
      <x:c r="B156" s="26" t="s">
        <x:v>386</x:v>
      </x:c>
      <x:c r="C156" s="48" t="e">
        <x:f>C154/C20*365</x:f>
        <x:v>#DIV/0!</x:v>
      </x:c>
    </x:row>
    <x:row r="157">
      <x:c r="B157" s="20"/>
    </x:row>
    <x:row r="158">
      <x:c r="B158" s="26" t="s">
        <x:v>387</x:v>
      </x:c>
    </x:row>
    <x:row r="159">
      <x:c r="B159" s="43" t="s">
        <x:v>376</x:v>
      </x:c>
      <x:c r="C159" s="27" t="n">
        <x:f>SUM(COA!C203,COA!C205)</x:f>
        <x:v>0</x:v>
      </x:c>
    </x:row>
    <x:row r="160">
      <x:c r="B160" s="43" t="s">
        <x:v>314</x:v>
      </x:c>
      <x:c r="C160" s="35" t="n">
        <x:f>C161-C159</x:f>
        <x:v>0</x:v>
      </x:c>
    </x:row>
    <x:row r="161">
      <x:c r="B161" s="41" t="s">
        <x:v>388</x:v>
      </x:c>
      <x:c r="C161" s="27" t="n">
        <x:f>COA!C210</x:f>
        <x:v>0</x:v>
      </x:c>
    </x:row>
    <x:row r="162">
      <x:c r="B162" s="41" t="s">
        <x:v>389</x:v>
      </x:c>
      <x:c r="C162" s="27" t="n">
        <x:f>COA!C202</x:f>
        <x:v>0</x:v>
      </x:c>
    </x:row>
    <x:row r="163">
      <x:c r="B163" s="41" t="s">
        <x:v>390</x:v>
      </x:c>
      <x:c r="C163" s="27" t="n">
        <x:f>COA!C211</x:f>
        <x:v>0</x:v>
      </x:c>
    </x:row>
    <x:row r="164">
      <x:c r="B164" s="41" t="s">
        <x:v>391</x:v>
      </x:c>
      <x:c r="C164" s="27" t="n">
        <x:f>COA!C19-SUM('KHP Model Accounts'!C161:C163)</x:f>
        <x:v>0</x:v>
      </x:c>
    </x:row>
    <x:row r="165">
      <x:c r="B165" s="26" t="s">
        <x:v>392</x:v>
      </x:c>
      <x:c r="C165" s="36" t="n">
        <x:f>SUM(C161:C164)</x:f>
        <x:v>0</x:v>
      </x:c>
    </x:row>
    <x:row r="166">
      <x:c r="B166" s="26" t="s">
        <x:v>393</x:v>
      </x:c>
      <x:c r="C166" s="37" t="e">
        <x:f>C165/C$61</x:f>
        <x:v>#DIV/0!</x:v>
      </x:c>
    </x:row>
    <x:row r="167">
      <x:c r="B167" s="26" t="s">
        <x:v>394</x:v>
      </x:c>
      <x:c r="C167" s="48" t="e">
        <x:f>C165/C20*365</x:f>
        <x:v>#DIV/0!</x:v>
      </x:c>
    </x:row>
    <x:row r="168">
      <x:c r="B168" s="20"/>
    </x:row>
    <x:row r="169">
      <x:c r="B169" s="26" t="s">
        <x:v>395</x:v>
      </x:c>
      <x:c r="C169" s="39"/>
    </x:row>
    <x:row r="170">
      <x:c r="B170" s="43" t="s">
        <x:v>376</x:v>
      </x:c>
      <x:c r="C170" s="27" t="n">
        <x:f>SUM(COA!C216,COA!C218)</x:f>
        <x:v>0</x:v>
      </x:c>
    </x:row>
    <x:row r="171">
      <x:c r="B171" s="43" t="s">
        <x:v>314</x:v>
      </x:c>
      <x:c r="C171" s="35" t="n">
        <x:f>C172-C170</x:f>
        <x:v>0</x:v>
      </x:c>
    </x:row>
    <x:row r="172">
      <x:c r="B172" s="41" t="s">
        <x:v>396</x:v>
      </x:c>
      <x:c r="C172" s="27" t="n">
        <x:f>COA!C223</x:f>
        <x:v>0</x:v>
      </x:c>
    </x:row>
    <x:row r="173">
      <x:c r="B173" s="43" t="s">
        <x:v>397</x:v>
      </x:c>
      <x:c r="C173" s="27" t="n">
        <x:f>COA!C224</x:f>
        <x:v>0</x:v>
      </x:c>
    </x:row>
    <x:row r="174">
      <x:c r="B174" s="43" t="s">
        <x:v>398</x:v>
      </x:c>
      <x:c r="C174" s="27" t="n">
        <x:f>COA!C230</x:f>
        <x:v>0</x:v>
      </x:c>
    </x:row>
    <x:row r="175">
      <x:c r="B175" s="43" t="s">
        <x:v>399</x:v>
      </x:c>
      <x:c r="C175" s="27" t="n">
        <x:f>COA!C231</x:f>
        <x:v>0</x:v>
      </x:c>
    </x:row>
    <x:row r="176">
      <x:c r="B176" s="43" t="s">
        <x:v>400</x:v>
      </x:c>
      <x:c r="C176" s="27" t="n">
        <x:f>COA!C232</x:f>
        <x:v>0</x:v>
      </x:c>
    </x:row>
    <x:row r="177">
      <x:c r="B177" s="43" t="s">
        <x:v>401</x:v>
      </x:c>
      <x:c r="C177" s="27" t="n">
        <x:f>COA!C237</x:f>
        <x:v>0</x:v>
      </x:c>
    </x:row>
    <x:row r="178">
      <x:c r="B178" s="49" t="s">
        <x:v>402</x:v>
      </x:c>
      <x:c r="C178" s="21"/>
    </x:row>
    <x:row r="179">
      <x:c r="B179" s="43" t="s">
        <x:v>403</x:v>
      </x:c>
      <x:c r="C179" s="50" t="n">
        <x:f>C180-SUM(C173:C177)</x:f>
        <x:v>0</x:v>
      </x:c>
    </x:row>
    <x:row r="180">
      <x:c r="B180" s="41" t="s">
        <x:v>404</x:v>
      </x:c>
      <x:c r="C180" s="27" t="n">
        <x:f>COA!C20-SUM('KHP Model Accounts'!C172,C190)</x:f>
        <x:v>0</x:v>
      </x:c>
    </x:row>
    <x:row r="181">
      <x:c r="B181" s="26" t="s">
        <x:v>405</x:v>
      </x:c>
      <x:c r="C181" s="36" t="n">
        <x:f>C180+C172</x:f>
        <x:v>0</x:v>
      </x:c>
    </x:row>
    <x:row r="182">
      <x:c r="B182" s="26" t="s">
        <x:v>406</x:v>
      </x:c>
      <x:c r="C182" s="37" t="e">
        <x:f>C181/C$61</x:f>
        <x:v>#DIV/0!</x:v>
      </x:c>
    </x:row>
    <x:row r="183">
      <x:c r="B183" s="26" t="s">
        <x:v>407</x:v>
      </x:c>
      <x:c r="C183" s="48" t="e">
        <x:f>C181/C20*365</x:f>
        <x:v>#DIV/0!</x:v>
      </x:c>
    </x:row>
    <x:row r="184">
      <x:c r="B184" s="41"/>
      <x:c r="C184" s="39"/>
    </x:row>
    <x:row r="185">
      <x:c r="B185" s="26" t="s">
        <x:v>408</x:v>
      </x:c>
    </x:row>
    <x:row r="186">
      <x:c r="B186" s="41" t="s">
        <x:v>409</x:v>
      </x:c>
      <x:c r="C186" s="27" t="n">
        <x:f>COA!C234</x:f>
        <x:v>0</x:v>
      </x:c>
    </x:row>
    <x:row r="187">
      <x:c r="B187" s="41" t="s">
        <x:v>410</x:v>
      </x:c>
      <x:c r="C187" s="27">
        <x:v>0</x:v>
      </x:c>
    </x:row>
    <x:row r="188">
      <x:c r="B188" s="41" t="s">
        <x:v>411</x:v>
      </x:c>
      <x:c r="C188" s="27" t="n">
        <x:f>COA!C235</x:f>
        <x:v>0</x:v>
      </x:c>
    </x:row>
    <x:row r="189">
      <x:c r="B189" s="41" t="s">
        <x:v>412</x:v>
      </x:c>
      <x:c r="C189" s="27">
        <x:v>0</x:v>
      </x:c>
    </x:row>
    <x:row r="190">
      <x:c r="B190" s="26" t="s">
        <x:v>413</x:v>
      </x:c>
      <x:c r="C190" s="36" t="n">
        <x:f>SUM(C186:C189)</x:f>
        <x:v>0</x:v>
      </x:c>
    </x:row>
    <x:row r="191">
      <x:c r="B191" s="26" t="s">
        <x:v>414</x:v>
      </x:c>
      <x:c r="C191" s="37" t="e">
        <x:f>C190/C$61</x:f>
        <x:v>#DIV/0!</x:v>
      </x:c>
    </x:row>
    <x:row r="192">
      <x:c r="B192" s="26" t="s">
        <x:v>415</x:v>
      </x:c>
      <x:c r="C192" s="48" t="e">
        <x:f>C190/C20*365</x:f>
        <x:v>#DIV/0!</x:v>
      </x:c>
    </x:row>
    <x:row r="193">
      <x:c r="B193" s="20"/>
    </x:row>
    <x:row r="194">
      <x:c r="B194" s="26" t="s">
        <x:v>416</x:v>
      </x:c>
    </x:row>
    <x:row r="195">
      <x:c r="B195" s="43" t="s">
        <x:v>376</x:v>
      </x:c>
      <x:c r="C195" s="27" t="n">
        <x:f>SUM(COA!C241,COA!C243)</x:f>
        <x:v>0</x:v>
      </x:c>
    </x:row>
    <x:row r="196">
      <x:c r="B196" s="43" t="s">
        <x:v>314</x:v>
      </x:c>
      <x:c r="C196" s="35" t="n">
        <x:f>C197-C195</x:f>
        <x:v>0</x:v>
      </x:c>
    </x:row>
    <x:row r="197">
      <x:c r="B197" s="41" t="s">
        <x:v>417</x:v>
      </x:c>
      <x:c r="C197" s="27" t="n">
        <x:f>COA!C248</x:f>
        <x:v>0</x:v>
      </x:c>
    </x:row>
    <x:row r="198">
      <x:c r="B198" s="45" t="s">
        <x:v>399</x:v>
      </x:c>
      <x:c r="C198" s="27" t="n">
        <x:f>COA!C249</x:f>
        <x:v>0</x:v>
      </x:c>
    </x:row>
    <x:row r="199">
      <x:c r="B199" s="45" t="s">
        <x:v>418</x:v>
      </x:c>
      <x:c r="C199" s="27" t="n">
        <x:f>COA!C250</x:f>
        <x:v>0</x:v>
      </x:c>
    </x:row>
    <x:row r="200">
      <x:c r="B200" s="45" t="s">
        <x:v>419</x:v>
      </x:c>
      <x:c r="C200" s="50" t="n">
        <x:f>C201-SUM(C198:C199)</x:f>
        <x:v>0</x:v>
      </x:c>
    </x:row>
    <x:row r="201">
      <x:c r="B201" s="41" t="s">
        <x:v>420</x:v>
      </x:c>
      <x:c r="C201" s="27" t="n">
        <x:f>COA!C21-'KHP Model Accounts'!C197</x:f>
        <x:v>0</x:v>
      </x:c>
    </x:row>
    <x:row r="202">
      <x:c r="B202" s="26" t="s">
        <x:v>421</x:v>
      </x:c>
      <x:c r="C202" s="36" t="n">
        <x:f>C201+C197</x:f>
        <x:v>0</x:v>
      </x:c>
    </x:row>
    <x:row r="203">
      <x:c r="B203" s="26" t="s">
        <x:v>422</x:v>
      </x:c>
      <x:c r="C203" s="37" t="e">
        <x:f>C202/C$61</x:f>
        <x:v>#DIV/0!</x:v>
      </x:c>
    </x:row>
    <x:row r="204">
      <x:c r="B204" s="26" t="s">
        <x:v>423</x:v>
      </x:c>
      <x:c r="C204" s="48" t="e">
        <x:f>C202/C20*365</x:f>
        <x:v>#DIV/0!</x:v>
      </x:c>
    </x:row>
    <x:row r="205">
      <x:c r="B205" s="20"/>
    </x:row>
    <x:row r="206">
      <x:c r="B206" s="26" t="s">
        <x:v>424</x:v>
      </x:c>
    </x:row>
    <x:row r="207">
      <x:c r="B207" s="26" t="s">
        <x:v>425</x:v>
      </x:c>
      <x:c r="C207" s="51" t="n">
        <x:f>COA!C22</x:f>
        <x:v>0</x:v>
      </x:c>
    </x:row>
    <x:row r="208">
      <x:c r="B208" s="26" t="s">
        <x:v>426</x:v>
      </x:c>
      <x:c r="C208" s="37" t="e">
        <x:f>C207/C61</x:f>
        <x:v>#DIV/0!</x:v>
      </x:c>
    </x:row>
    <x:row r="209">
      <x:c r="B209" s="26" t="s">
        <x:v>427</x:v>
      </x:c>
      <x:c r="C209" s="21">
        <x:v>0.6</x:v>
      </x:c>
    </x:row>
    <x:row r="210">
      <x:c r="B210" s="26" t="s">
        <x:v>428</x:v>
      </x:c>
      <x:c r="C210" s="52">
        <x:v>0.4</x:v>
      </x:c>
    </x:row>
    <x:row r="211">
      <x:c r="B211" s="26" t="s">
        <x:v>429</x:v>
      </x:c>
      <x:c r="C211" s="53" t="e">
        <x:f>C207*C210/C21</x:f>
        <x:v>#DIV/0!</x:v>
      </x:c>
    </x:row>
    <x:row r="212">
      <x:c r="B212" s="26" t="s">
        <x:v>430</x:v>
      </x:c>
      <x:c r="C212" s="48" t="e">
        <x:f>C207*C209/C20*365</x:f>
        <x:v>#DIV/0!</x:v>
      </x:c>
    </x:row>
    <x:row r="213">
      <x:c r="B213" s="20"/>
    </x:row>
    <x:row r="214">
      <x:c r="B214" s="25" t="s">
        <x:v>431</x:v>
      </x:c>
      <x:c r="C214" s="32" t="n">
        <x:f>SUM(C207,C202,C190,C181,C165,C154)</x:f>
        <x:v>0</x:v>
      </x:c>
    </x:row>
    <x:row r="215">
      <x:c r="B215" s="25" t="s">
        <x:v>432</x:v>
      </x:c>
      <x:c r="C215" s="46" t="e">
        <x:f>C214/C$61</x:f>
        <x:v>#DIV/0!</x:v>
      </x:c>
    </x:row>
    <x:row r="216">
      <x:c r="B216" s="20"/>
    </x:row>
    <x:row r="217">
      <x:c r="B217" s="25" t="s">
        <x:v>433</x:v>
      </x:c>
      <x:c r="C217" s="32" t="n">
        <x:f>C139-C214</x:f>
        <x:v>0</x:v>
      </x:c>
    </x:row>
    <x:row r="218">
      <x:c r="B218" s="25" t="s">
        <x:v>434</x:v>
      </x:c>
      <x:c r="C218" s="46" t="e">
        <x:f>C217/C$61</x:f>
        <x:v>#DIV/0!</x:v>
      </x:c>
    </x:row>
    <x:row r="219">
      <x:c r="B219" s="20"/>
    </x:row>
    <x:row r="220">
      <x:c r="B220" s="26" t="s">
        <x:v>435</x:v>
      </x:c>
    </x:row>
    <x:row r="221">
      <x:c r="B221" s="41" t="s">
        <x:v>436</x:v>
      </x:c>
      <x:c r="C221" s="27" t="n">
        <x:f>COA!C25-'KHP Model Accounts'!C222</x:f>
        <x:v>0</x:v>
      </x:c>
    </x:row>
    <x:row r="222">
      <x:c r="B222" s="41" t="s">
        <x:v>437</x:v>
      </x:c>
      <x:c r="C222" s="54" t="n">
        <x:f>COA!C264</x:f>
        <x:v>0</x:v>
      </x:c>
    </x:row>
    <x:row r="223">
      <x:c r="B223" s="26" t="s">
        <x:v>438</x:v>
      </x:c>
      <x:c r="C223" s="39" t="n">
        <x:f>SUM(C221:C222)</x:f>
        <x:v>0</x:v>
      </x:c>
    </x:row>
    <x:row r="224">
      <x:c r="B224" s="20"/>
    </x:row>
    <x:row r="225">
      <x:c r="B225" s="25" t="s">
        <x:v>439</x:v>
      </x:c>
      <x:c r="C225" s="32" t="n">
        <x:f>C217-C223</x:f>
        <x:v>0</x:v>
      </x:c>
    </x:row>
    <x:row r="226">
      <x:c r="B226" s="25" t="s">
        <x:v>440</x:v>
      </x:c>
      <x:c r="C226" s="46" t="e">
        <x:f>C225/C61</x:f>
        <x:v>#DIV/0!</x:v>
      </x:c>
    </x:row>
    <x:row r="227">
      <x:c r="B227" s="20"/>
    </x:row>
    <x:row r="228">
      <x:c r="B228" s="26" t="s">
        <x:v>441</x:v>
      </x:c>
    </x:row>
    <x:row r="229">
      <x:c r="B229" s="41" t="s">
        <x:v>442</x:v>
      </x:c>
      <x:c r="C229" s="27" t="n">
        <x:f>COA!C27</x:f>
        <x:v>0</x:v>
      </x:c>
    </x:row>
    <x:row r="230">
      <x:c r="B230" s="41" t="s">
        <x:v>443</x:v>
      </x:c>
      <x:c r="C230" s="27" t="n">
        <x:f>COA!C28</x:f>
        <x:v>0</x:v>
      </x:c>
    </x:row>
    <x:row r="231">
      <x:c r="B231" s="41" t="s">
        <x:v>444</x:v>
      </x:c>
      <x:c r="C231" s="27" t="n">
        <x:f>COA!C29</x:f>
        <x:v>0</x:v>
      </x:c>
    </x:row>
    <x:row r="232">
      <x:c r="B232" s="41" t="s">
        <x:v>445</x:v>
      </x:c>
      <x:c r="C232" s="28" t="n">
        <x:f>SUM(C233:C234)</x:f>
        <x:v>0</x:v>
      </x:c>
    </x:row>
    <x:row r="233">
      <x:c r="B233" s="29" t="s">
        <x:v>446</x:v>
      </x:c>
      <x:c r="C233" s="27" t="n">
        <x:f>COA!C30-'KHP Model Accounts'!C234</x:f>
        <x:v>0</x:v>
      </x:c>
    </x:row>
    <x:row r="234">
      <x:c r="B234" s="29" t="s">
        <x:v>447</x:v>
      </x:c>
      <x:c r="C234" s="27" t="n">
        <x:f>COA!C270</x:f>
        <x:v>0</x:v>
      </x:c>
    </x:row>
    <x:row r="235">
      <x:c r="B235" s="41" t="s">
        <x:v>448</x:v>
      </x:c>
      <x:c r="C235" s="54" t="n">
        <x:f>COA!C31</x:f>
        <x:v>0</x:v>
      </x:c>
    </x:row>
    <x:row r="236">
      <x:c r="B236" s="26" t="s">
        <x:v>449</x:v>
      </x:c>
      <x:c r="C236" s="28" t="n">
        <x:f>SUM(C229:C232,C235)</x:f>
        <x:v>0</x:v>
      </x:c>
    </x:row>
    <x:row r="237">
      <x:c r="B237" s="20"/>
    </x:row>
    <x:row r="238">
      <x:c r="B238" s="25" t="s">
        <x:v>450</x:v>
      </x:c>
      <x:c r="C238" s="32" t="n">
        <x:f>C225-C236</x:f>
        <x:v>0</x:v>
      </x:c>
    </x:row>
    <x:row r="239">
      <x:c r="B239" s="25" t="s">
        <x:v>451</x:v>
      </x:c>
      <x:c r="C239" s="46" t="e">
        <x:f>C238/C$61</x:f>
        <x:v>#DIV/0!</x:v>
      </x:c>
    </x:row>
  </x:sheetData>
  <x:pageMargins left="0.7" right="0.7" top="0.75" bottom="0.75" header="0.3" footer="0.3"/>
  <x:drawing xmlns:r="http://schemas.openxmlformats.org/officeDocument/2006/relationships" r:id="R1edee0fc8c344c87"/>
</x:worksheet>
</file>